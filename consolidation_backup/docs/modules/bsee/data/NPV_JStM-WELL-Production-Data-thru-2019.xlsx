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k Samdan\Desktop\github\worldenergydata\docs\modules\bsee\data\"/>
    </mc:Choice>
  </mc:AlternateContent>
  <xr:revisionPtr revIDLastSave="0" documentId="13_ncr:1_{2DEC0EFE-6AD6-4409-B876-F0597E766175}" xr6:coauthVersionLast="47" xr6:coauthVersionMax="47" xr10:uidLastSave="{00000000-0000-0000-0000-000000000000}"/>
  <bookViews>
    <workbookView xWindow="-108" yWindow="-108" windowWidth="23256" windowHeight="12456" tabRatio="673" xr2:uid="{00000000-000D-0000-FFFF-FFFF00000000}"/>
  </bookViews>
  <sheets>
    <sheet name="NPV w Mo'ly data chart" sheetId="4" r:id="rId1"/>
  </sheets>
  <definedNames>
    <definedName name="JACKcost">'NPV w Mo''ly data chart'!$A$39</definedName>
    <definedName name="MALOcost">'NPV w Mo''ly data chart'!$A$38</definedName>
    <definedName name="OPEX">'NPV w Mo''ly data chart'!$A$37</definedName>
    <definedName name="RATE">'NPV w Mo''ly data chart'!$B$32</definedName>
    <definedName name="RecompCOST">'NPV w Mo''ly data chart'!$A$40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F25" i="4" l="1"/>
  <c r="BF3" i="4"/>
  <c r="BF24" i="4"/>
  <c r="BF23" i="4"/>
  <c r="AY34" i="4"/>
  <c r="AS34" i="4"/>
  <c r="AQ34" i="4"/>
  <c r="AN34" i="4"/>
  <c r="AL34" i="4"/>
  <c r="AF34" i="4"/>
  <c r="AB34" i="4"/>
  <c r="W34" i="4"/>
  <c r="U34" i="4"/>
  <c r="S34" i="4"/>
  <c r="J34" i="4"/>
  <c r="G34" i="4"/>
  <c r="E34" i="4"/>
  <c r="D34" i="4"/>
  <c r="C34" i="4"/>
  <c r="BF26" i="4"/>
  <c r="BF27" i="4"/>
  <c r="AQ28" i="4"/>
  <c r="G28" i="4"/>
  <c r="C31" i="4"/>
  <c r="D31" i="4" s="1"/>
  <c r="E31" i="4" s="1"/>
  <c r="F31" i="4" s="1"/>
  <c r="G31" i="4" s="1"/>
  <c r="H31" i="4" s="1"/>
  <c r="I31" i="4" s="1"/>
  <c r="J31" i="4" s="1"/>
  <c r="K31" i="4" s="1"/>
  <c r="L31" i="4" s="1"/>
  <c r="M31" i="4" s="1"/>
  <c r="N31" i="4" s="1"/>
  <c r="O31" i="4" s="1"/>
  <c r="P31" i="4" s="1"/>
  <c r="Q31" i="4" s="1"/>
  <c r="R31" i="4" s="1"/>
  <c r="S31" i="4" s="1"/>
  <c r="T31" i="4" s="1"/>
  <c r="U31" i="4" s="1"/>
  <c r="V31" i="4" s="1"/>
  <c r="W31" i="4" s="1"/>
  <c r="X31" i="4" s="1"/>
  <c r="Y31" i="4" s="1"/>
  <c r="Z31" i="4" s="1"/>
  <c r="AA31" i="4" s="1"/>
  <c r="AB31" i="4" s="1"/>
  <c r="AC31" i="4" s="1"/>
  <c r="AD31" i="4" s="1"/>
  <c r="AE31" i="4" s="1"/>
  <c r="AF31" i="4" s="1"/>
  <c r="AG31" i="4" s="1"/>
  <c r="AH31" i="4" s="1"/>
  <c r="AI31" i="4" s="1"/>
  <c r="AJ31" i="4" s="1"/>
  <c r="AK31" i="4" s="1"/>
  <c r="AL31" i="4" s="1"/>
  <c r="AM31" i="4" s="1"/>
  <c r="AN31" i="4" s="1"/>
  <c r="AO31" i="4" s="1"/>
  <c r="AP31" i="4" s="1"/>
  <c r="AQ31" i="4" s="1"/>
  <c r="AR31" i="4" s="1"/>
  <c r="AS31" i="4" s="1"/>
  <c r="AT31" i="4" s="1"/>
  <c r="AU31" i="4" s="1"/>
  <c r="AV31" i="4" s="1"/>
  <c r="AW31" i="4" s="1"/>
  <c r="AX31" i="4" s="1"/>
  <c r="AY31" i="4" s="1"/>
  <c r="AZ31" i="4" s="1"/>
  <c r="BA31" i="4" s="1"/>
  <c r="BB31" i="4" s="1"/>
  <c r="BC31" i="4" s="1"/>
  <c r="BD31" i="4" s="1"/>
  <c r="BE31" i="4" s="1"/>
  <c r="A31" i="4" s="1"/>
  <c r="C30" i="4"/>
  <c r="D30" i="4" s="1"/>
  <c r="E30" i="4" s="1"/>
  <c r="F30" i="4" s="1"/>
  <c r="G30" i="4" s="1"/>
  <c r="H30" i="4" s="1"/>
  <c r="I30" i="4" s="1"/>
  <c r="J30" i="4" s="1"/>
  <c r="K30" i="4" s="1"/>
  <c r="L30" i="4" s="1"/>
  <c r="M30" i="4" s="1"/>
  <c r="N30" i="4" s="1"/>
  <c r="O30" i="4" s="1"/>
  <c r="P30" i="4" s="1"/>
  <c r="Q30" i="4" s="1"/>
  <c r="R30" i="4" s="1"/>
  <c r="S30" i="4" s="1"/>
  <c r="T30" i="4" s="1"/>
  <c r="U30" i="4" s="1"/>
  <c r="V30" i="4" s="1"/>
  <c r="W30" i="4" s="1"/>
  <c r="X30" i="4" s="1"/>
  <c r="Y30" i="4" s="1"/>
  <c r="Z30" i="4" s="1"/>
  <c r="AA30" i="4" s="1"/>
  <c r="AB30" i="4" s="1"/>
  <c r="AC30" i="4" s="1"/>
  <c r="AD30" i="4" s="1"/>
  <c r="AE30" i="4" s="1"/>
  <c r="AF30" i="4" s="1"/>
  <c r="AG30" i="4" s="1"/>
  <c r="AH30" i="4" s="1"/>
  <c r="AI30" i="4" s="1"/>
  <c r="AJ30" i="4" s="1"/>
  <c r="AK30" i="4" s="1"/>
  <c r="AL30" i="4" s="1"/>
  <c r="AM30" i="4" s="1"/>
  <c r="AN30" i="4" s="1"/>
  <c r="AO30" i="4" s="1"/>
  <c r="AP30" i="4" s="1"/>
  <c r="AQ30" i="4" s="1"/>
  <c r="AR30" i="4" s="1"/>
  <c r="AS30" i="4" s="1"/>
  <c r="AT30" i="4" s="1"/>
  <c r="AU30" i="4" s="1"/>
  <c r="AV30" i="4" s="1"/>
  <c r="AW30" i="4" s="1"/>
  <c r="AX30" i="4" s="1"/>
  <c r="AY30" i="4" s="1"/>
  <c r="AZ30" i="4" s="1"/>
  <c r="BA30" i="4" s="1"/>
  <c r="BB30" i="4" s="1"/>
  <c r="BC30" i="4" s="1"/>
  <c r="BD30" i="4" s="1"/>
  <c r="BE30" i="4" s="1"/>
  <c r="A30" i="4" s="1"/>
  <c r="AY28" i="4"/>
  <c r="AS28" i="4"/>
  <c r="AN28" i="4"/>
  <c r="AL28" i="4"/>
  <c r="AF28" i="4"/>
  <c r="AB28" i="4"/>
  <c r="W28" i="4"/>
  <c r="U28" i="4"/>
  <c r="S28" i="4"/>
  <c r="J28" i="4"/>
  <c r="E28" i="4"/>
  <c r="D28" i="4"/>
  <c r="D29" i="4" s="1"/>
  <c r="C28" i="4"/>
  <c r="A34" i="4" l="1"/>
  <c r="BF34" i="4"/>
  <c r="E29" i="4"/>
  <c r="F29" i="4" s="1"/>
  <c r="G29" i="4" s="1"/>
  <c r="H29" i="4" s="1"/>
  <c r="I29" i="4" s="1"/>
  <c r="J29" i="4" s="1"/>
  <c r="K29" i="4" s="1"/>
  <c r="L29" i="4" s="1"/>
  <c r="M29" i="4" s="1"/>
  <c r="N29" i="4" s="1"/>
  <c r="O29" i="4" s="1"/>
  <c r="P29" i="4" s="1"/>
  <c r="Q29" i="4" s="1"/>
  <c r="R29" i="4" s="1"/>
  <c r="S29" i="4" s="1"/>
  <c r="T29" i="4" s="1"/>
  <c r="U29" i="4" s="1"/>
  <c r="V29" i="4" s="1"/>
  <c r="W29" i="4" s="1"/>
  <c r="X29" i="4" s="1"/>
  <c r="Y29" i="4" s="1"/>
  <c r="Z29" i="4" s="1"/>
  <c r="AA29" i="4" s="1"/>
  <c r="AB29" i="4" s="1"/>
  <c r="AC29" i="4" s="1"/>
  <c r="AD29" i="4" s="1"/>
  <c r="AE29" i="4" s="1"/>
  <c r="AF29" i="4" s="1"/>
  <c r="AG29" i="4" s="1"/>
  <c r="AH29" i="4" s="1"/>
  <c r="AI29" i="4" s="1"/>
  <c r="AJ29" i="4" s="1"/>
  <c r="AK29" i="4" s="1"/>
  <c r="AL29" i="4" s="1"/>
  <c r="AM29" i="4" s="1"/>
  <c r="AN29" i="4" s="1"/>
  <c r="AO29" i="4" s="1"/>
  <c r="AP29" i="4" s="1"/>
  <c r="AQ29" i="4" s="1"/>
  <c r="AR29" i="4" s="1"/>
  <c r="AS29" i="4" s="1"/>
  <c r="AT29" i="4" s="1"/>
  <c r="AU29" i="4" s="1"/>
  <c r="AV29" i="4" s="1"/>
  <c r="AW29" i="4" s="1"/>
  <c r="AX29" i="4" s="1"/>
  <c r="AY29" i="4" s="1"/>
  <c r="AZ29" i="4" s="1"/>
  <c r="BA29" i="4" s="1"/>
  <c r="BB29" i="4" s="1"/>
  <c r="BC29" i="4" s="1"/>
  <c r="BD29" i="4" s="1"/>
  <c r="BE29" i="4" s="1"/>
  <c r="A29" i="4" s="1"/>
  <c r="BE21" i="4" l="1"/>
  <c r="BD21" i="4"/>
  <c r="BC21" i="4"/>
  <c r="BB21" i="4"/>
  <c r="BA21" i="4"/>
  <c r="AZ21" i="4"/>
  <c r="AY21" i="4"/>
  <c r="BE20" i="4"/>
  <c r="BD20" i="4"/>
  <c r="BC20" i="4"/>
  <c r="BB20" i="4"/>
  <c r="BA20" i="4"/>
  <c r="AZ20" i="4"/>
  <c r="AY20" i="4"/>
  <c r="AX20" i="4"/>
  <c r="AW20" i="4"/>
  <c r="AV20" i="4"/>
  <c r="AU20" i="4"/>
  <c r="AT20" i="4"/>
  <c r="AS20" i="4"/>
  <c r="AR20" i="4"/>
  <c r="AQ20" i="4"/>
  <c r="AL20" i="4"/>
  <c r="BE19" i="4"/>
  <c r="BD19" i="4"/>
  <c r="BC19" i="4"/>
  <c r="BB19" i="4"/>
  <c r="BA19" i="4"/>
  <c r="AZ19" i="4"/>
  <c r="AY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E19" i="4"/>
  <c r="D19" i="4"/>
  <c r="BE18" i="4"/>
  <c r="BD18" i="4"/>
  <c r="BC18" i="4"/>
  <c r="BB18" i="4"/>
  <c r="BA18" i="4"/>
  <c r="AZ18" i="4"/>
  <c r="AY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C18" i="4"/>
  <c r="BE17" i="4"/>
  <c r="BD17" i="4"/>
  <c r="BC17" i="4"/>
  <c r="BB17" i="4"/>
  <c r="BA17" i="4"/>
  <c r="AZ17" i="4"/>
  <c r="AY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F22" i="4" s="1"/>
  <c r="F23" i="4" s="1"/>
  <c r="E17" i="4"/>
  <c r="D17" i="4"/>
  <c r="AI16" i="4"/>
  <c r="AH16" i="4"/>
  <c r="AG16" i="4"/>
  <c r="AF16" i="4"/>
  <c r="AE16" i="4"/>
  <c r="AD16" i="4"/>
  <c r="AC16" i="4"/>
  <c r="AB16" i="4"/>
  <c r="C16" i="4"/>
  <c r="BE13" i="4"/>
  <c r="BD13" i="4"/>
  <c r="BC13" i="4"/>
  <c r="BB13" i="4"/>
  <c r="BA13" i="4"/>
  <c r="AZ13" i="4"/>
  <c r="AY13" i="4"/>
  <c r="AX13" i="4"/>
  <c r="AW13" i="4"/>
  <c r="AV13" i="4"/>
  <c r="AU13" i="4"/>
  <c r="AT13" i="4"/>
  <c r="AS13" i="4"/>
  <c r="BE12" i="4"/>
  <c r="BD12" i="4"/>
  <c r="BC12" i="4"/>
  <c r="BB12" i="4"/>
  <c r="BA12" i="4"/>
  <c r="AZ12" i="4"/>
  <c r="AY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BE11" i="4"/>
  <c r="BD11" i="4"/>
  <c r="BC11" i="4"/>
  <c r="BB11" i="4"/>
  <c r="BA11" i="4"/>
  <c r="AZ11" i="4"/>
  <c r="AY11" i="4"/>
  <c r="AX11" i="4"/>
  <c r="AW11" i="4"/>
  <c r="AV11" i="4"/>
  <c r="AU11" i="4"/>
  <c r="AT11" i="4"/>
  <c r="AS11" i="4"/>
  <c r="AR11" i="4"/>
  <c r="AQ11" i="4"/>
  <c r="AP11" i="4"/>
  <c r="AO11" i="4"/>
  <c r="AN11" i="4"/>
  <c r="BE10" i="4"/>
  <c r="BD10" i="4"/>
  <c r="BC10" i="4"/>
  <c r="BB10" i="4"/>
  <c r="BA10" i="4"/>
  <c r="AZ10" i="4"/>
  <c r="AY10" i="4"/>
  <c r="AX10" i="4"/>
  <c r="AW10" i="4"/>
  <c r="AV10" i="4"/>
  <c r="AU10" i="4"/>
  <c r="AT10" i="4"/>
  <c r="AS10" i="4"/>
  <c r="AR10" i="4"/>
  <c r="AQ10" i="4"/>
  <c r="AP10" i="4"/>
  <c r="AO10" i="4"/>
  <c r="AN10" i="4"/>
  <c r="AM10" i="4"/>
  <c r="AL10" i="4"/>
  <c r="AK10" i="4"/>
  <c r="AJ10" i="4"/>
  <c r="AI10" i="4"/>
  <c r="AH10" i="4"/>
  <c r="AG10" i="4"/>
  <c r="AF10" i="4"/>
  <c r="AE10" i="4"/>
  <c r="AD10" i="4"/>
  <c r="AC10" i="4"/>
  <c r="AB10" i="4"/>
  <c r="AA10" i="4"/>
  <c r="Z10" i="4"/>
  <c r="Y10" i="4"/>
  <c r="X10" i="4"/>
  <c r="W10" i="4"/>
  <c r="V10" i="4"/>
  <c r="U10" i="4"/>
  <c r="T10" i="4"/>
  <c r="S10" i="4"/>
  <c r="BE9" i="4"/>
  <c r="BD9" i="4"/>
  <c r="BC9" i="4"/>
  <c r="BB9" i="4"/>
  <c r="BA9" i="4"/>
  <c r="AZ9" i="4"/>
  <c r="AY9" i="4"/>
  <c r="AX9" i="4"/>
  <c r="AW9" i="4"/>
  <c r="AV9" i="4"/>
  <c r="AU9" i="4"/>
  <c r="AT9" i="4"/>
  <c r="AS9" i="4"/>
  <c r="AR9" i="4"/>
  <c r="AQ9" i="4"/>
  <c r="AP9" i="4"/>
  <c r="AO9" i="4"/>
  <c r="AN9" i="4"/>
  <c r="AM9" i="4"/>
  <c r="AL9" i="4"/>
  <c r="AK9" i="4"/>
  <c r="AJ9" i="4"/>
  <c r="AI9" i="4"/>
  <c r="AH9" i="4"/>
  <c r="AG9" i="4"/>
  <c r="AF9" i="4"/>
  <c r="AE9" i="4"/>
  <c r="AD9" i="4"/>
  <c r="AC9" i="4"/>
  <c r="AB9" i="4"/>
  <c r="AA9" i="4"/>
  <c r="Z9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E9" i="4"/>
  <c r="D9" i="4"/>
  <c r="C9" i="4"/>
  <c r="BE8" i="4"/>
  <c r="BD8" i="4"/>
  <c r="BC8" i="4"/>
  <c r="BB8" i="4"/>
  <c r="BA8" i="4"/>
  <c r="AZ8" i="4"/>
  <c r="AY8" i="4"/>
  <c r="AX8" i="4"/>
  <c r="AW8" i="4"/>
  <c r="AV8" i="4"/>
  <c r="AU8" i="4"/>
  <c r="AT8" i="4"/>
  <c r="AS8" i="4"/>
  <c r="AR8" i="4"/>
  <c r="AQ8" i="4"/>
  <c r="AP8" i="4"/>
  <c r="AO8" i="4"/>
  <c r="AN8" i="4"/>
  <c r="AM8" i="4"/>
  <c r="AL8" i="4"/>
  <c r="AK8" i="4"/>
  <c r="AJ8" i="4"/>
  <c r="AI8" i="4"/>
  <c r="AH8" i="4"/>
  <c r="AG8" i="4"/>
  <c r="AF8" i="4"/>
  <c r="Y8" i="4"/>
  <c r="M8" i="4"/>
  <c r="BG8" i="4" s="1"/>
  <c r="BE7" i="4"/>
  <c r="BD7" i="4"/>
  <c r="BC7" i="4"/>
  <c r="BB7" i="4"/>
  <c r="BA7" i="4"/>
  <c r="AZ7" i="4"/>
  <c r="AY7" i="4"/>
  <c r="AX7" i="4"/>
  <c r="AW7" i="4"/>
  <c r="AV7" i="4"/>
  <c r="AU7" i="4"/>
  <c r="AT7" i="4"/>
  <c r="AS7" i="4"/>
  <c r="AR7" i="4"/>
  <c r="AQ7" i="4"/>
  <c r="AP7" i="4"/>
  <c r="AO7" i="4"/>
  <c r="AN7" i="4"/>
  <c r="AM7" i="4"/>
  <c r="AL7" i="4"/>
  <c r="AK7" i="4"/>
  <c r="AJ7" i="4"/>
  <c r="AI7" i="4"/>
  <c r="AH7" i="4"/>
  <c r="AG7" i="4"/>
  <c r="AF7" i="4"/>
  <c r="AE7" i="4"/>
  <c r="AD7" i="4"/>
  <c r="AC7" i="4"/>
  <c r="AB7" i="4"/>
  <c r="AA7" i="4"/>
  <c r="Z7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J7" i="4"/>
  <c r="I7" i="4"/>
  <c r="H7" i="4"/>
  <c r="G7" i="4"/>
  <c r="F7" i="4"/>
  <c r="E7" i="4"/>
  <c r="BE6" i="4"/>
  <c r="BD6" i="4"/>
  <c r="BC6" i="4"/>
  <c r="BB6" i="4"/>
  <c r="BA6" i="4"/>
  <c r="AZ6" i="4"/>
  <c r="AY6" i="4"/>
  <c r="AX6" i="4"/>
  <c r="AW6" i="4"/>
  <c r="AV6" i="4"/>
  <c r="AU6" i="4"/>
  <c r="AT6" i="4"/>
  <c r="AS6" i="4"/>
  <c r="AR6" i="4"/>
  <c r="AQ6" i="4"/>
  <c r="AP6" i="4"/>
  <c r="AO6" i="4"/>
  <c r="AN6" i="4"/>
  <c r="AM6" i="4"/>
  <c r="AL6" i="4"/>
  <c r="AK6" i="4"/>
  <c r="AJ6" i="4"/>
  <c r="AI6" i="4"/>
  <c r="AH6" i="4"/>
  <c r="AG6" i="4"/>
  <c r="AF6" i="4"/>
  <c r="AE6" i="4"/>
  <c r="AD6" i="4"/>
  <c r="AC6" i="4"/>
  <c r="AB6" i="4"/>
  <c r="AA6" i="4"/>
  <c r="Z6" i="4"/>
  <c r="Y6" i="4"/>
  <c r="X6" i="4"/>
  <c r="W6" i="4"/>
  <c r="V6" i="4"/>
  <c r="U6" i="4"/>
  <c r="BE5" i="4"/>
  <c r="BD5" i="4"/>
  <c r="BC5" i="4"/>
  <c r="BB5" i="4"/>
  <c r="BA5" i="4"/>
  <c r="AZ5" i="4"/>
  <c r="AY5" i="4"/>
  <c r="AX5" i="4"/>
  <c r="AW5" i="4"/>
  <c r="AV5" i="4"/>
  <c r="AU5" i="4"/>
  <c r="AT5" i="4"/>
  <c r="AS5" i="4"/>
  <c r="AR5" i="4"/>
  <c r="AQ5" i="4"/>
  <c r="AP5" i="4"/>
  <c r="AO5" i="4"/>
  <c r="AN5" i="4"/>
  <c r="AM5" i="4"/>
  <c r="AL5" i="4"/>
  <c r="AK5" i="4"/>
  <c r="AJ5" i="4"/>
  <c r="AI5" i="4"/>
  <c r="AH5" i="4"/>
  <c r="AG5" i="4"/>
  <c r="AF5" i="4"/>
  <c r="AE5" i="4"/>
  <c r="AD5" i="4"/>
  <c r="AC5" i="4"/>
  <c r="AB5" i="4"/>
  <c r="AA5" i="4"/>
  <c r="Z5" i="4"/>
  <c r="Y5" i="4"/>
  <c r="X5" i="4"/>
  <c r="W5" i="4"/>
  <c r="V5" i="4"/>
  <c r="U5" i="4"/>
  <c r="T5" i="4"/>
  <c r="S5" i="4"/>
  <c r="R5" i="4"/>
  <c r="Q5" i="4"/>
  <c r="P5" i="4"/>
  <c r="O5" i="4"/>
  <c r="N5" i="4"/>
  <c r="M5" i="4"/>
  <c r="L5" i="4"/>
  <c r="K5" i="4"/>
  <c r="J5" i="4"/>
  <c r="I5" i="4"/>
  <c r="H5" i="4"/>
  <c r="G5" i="4"/>
  <c r="F5" i="4"/>
  <c r="E5" i="4"/>
  <c r="D5" i="4"/>
  <c r="BF8" i="4" l="1"/>
  <c r="C14" i="4"/>
  <c r="C15" i="4" s="1"/>
  <c r="BF9" i="4"/>
  <c r="BG9" i="4"/>
  <c r="BF12" i="4"/>
  <c r="BG12" i="4"/>
  <c r="BG11" i="4"/>
  <c r="BF11" i="4"/>
  <c r="BF7" i="4"/>
  <c r="BG7" i="4"/>
  <c r="BG6" i="4"/>
  <c r="BF6" i="4"/>
  <c r="BG5" i="4"/>
  <c r="BF5" i="4"/>
  <c r="BG10" i="4"/>
  <c r="BF10" i="4"/>
  <c r="BG13" i="4"/>
  <c r="BF13" i="4"/>
  <c r="D22" i="4"/>
  <c r="D23" i="4" s="1"/>
  <c r="K14" i="4"/>
  <c r="K15" i="4" s="1"/>
  <c r="D14" i="4"/>
  <c r="D15" i="4" s="1"/>
  <c r="L14" i="4"/>
  <c r="L15" i="4" s="1"/>
  <c r="T14" i="4"/>
  <c r="T15" i="4" s="1"/>
  <c r="AE22" i="4"/>
  <c r="AE23" i="4" s="1"/>
  <c r="G22" i="4"/>
  <c r="G23" i="4" s="1"/>
  <c r="O22" i="4"/>
  <c r="O23" i="4" s="1"/>
  <c r="W22" i="4"/>
  <c r="W23" i="4" s="1"/>
  <c r="AM22" i="4"/>
  <c r="AM23" i="4" s="1"/>
  <c r="AU22" i="4"/>
  <c r="AU23" i="4" s="1"/>
  <c r="BC22" i="4"/>
  <c r="BC23" i="4" s="1"/>
  <c r="H22" i="4"/>
  <c r="H23" i="4" s="1"/>
  <c r="AG22" i="4"/>
  <c r="AG23" i="4" s="1"/>
  <c r="I22" i="4"/>
  <c r="I23" i="4" s="1"/>
  <c r="Q22" i="4"/>
  <c r="Q23" i="4" s="1"/>
  <c r="Y22" i="4"/>
  <c r="Y23" i="4" s="1"/>
  <c r="AO22" i="4"/>
  <c r="AO23" i="4" s="1"/>
  <c r="AW22" i="4"/>
  <c r="AW23" i="4" s="1"/>
  <c r="BE22" i="4"/>
  <c r="BE23" i="4" s="1"/>
  <c r="AF22" i="4"/>
  <c r="AF23" i="4" s="1"/>
  <c r="P22" i="4"/>
  <c r="P23" i="4" s="1"/>
  <c r="X22" i="4"/>
  <c r="X23" i="4" s="1"/>
  <c r="AN22" i="4"/>
  <c r="AN23" i="4" s="1"/>
  <c r="AV22" i="4"/>
  <c r="AV23" i="4" s="1"/>
  <c r="BD22" i="4"/>
  <c r="BD23" i="4" s="1"/>
  <c r="C22" i="4"/>
  <c r="AB22" i="4"/>
  <c r="AB23" i="4" s="1"/>
  <c r="L22" i="4"/>
  <c r="L23" i="4" s="1"/>
  <c r="AJ22" i="4"/>
  <c r="AJ23" i="4" s="1"/>
  <c r="AR22" i="4"/>
  <c r="AR23" i="4" s="1"/>
  <c r="J14" i="4"/>
  <c r="J15" i="4" s="1"/>
  <c r="R14" i="4"/>
  <c r="R15" i="4" s="1"/>
  <c r="Z14" i="4"/>
  <c r="Z15" i="4" s="1"/>
  <c r="S14" i="4"/>
  <c r="S15" i="4" s="1"/>
  <c r="AA14" i="4"/>
  <c r="AA15" i="4" s="1"/>
  <c r="AI14" i="4"/>
  <c r="AI15" i="4" s="1"/>
  <c r="AQ14" i="4"/>
  <c r="AQ15" i="4" s="1"/>
  <c r="AY14" i="4"/>
  <c r="AY15" i="4" s="1"/>
  <c r="AD22" i="4"/>
  <c r="AD23" i="4" s="1"/>
  <c r="N22" i="4"/>
  <c r="N23" i="4" s="1"/>
  <c r="V22" i="4"/>
  <c r="V23" i="4" s="1"/>
  <c r="AL22" i="4"/>
  <c r="AL23" i="4" s="1"/>
  <c r="AT22" i="4"/>
  <c r="AT23" i="4" s="1"/>
  <c r="BB22" i="4"/>
  <c r="BB23" i="4" s="1"/>
  <c r="T22" i="4"/>
  <c r="T23" i="4" s="1"/>
  <c r="AZ22" i="4"/>
  <c r="AZ23" i="4" s="1"/>
  <c r="AB14" i="4"/>
  <c r="AJ14" i="4"/>
  <c r="AR14" i="4"/>
  <c r="AR15" i="4" s="1"/>
  <c r="AZ14" i="4"/>
  <c r="AZ15" i="4" s="1"/>
  <c r="AC22" i="4"/>
  <c r="AC23" i="4" s="1"/>
  <c r="E22" i="4"/>
  <c r="E23" i="4" s="1"/>
  <c r="M22" i="4"/>
  <c r="M23" i="4" s="1"/>
  <c r="U22" i="4"/>
  <c r="U23" i="4" s="1"/>
  <c r="AK22" i="4"/>
  <c r="AK23" i="4" s="1"/>
  <c r="AS22" i="4"/>
  <c r="AS23" i="4" s="1"/>
  <c r="BA22" i="4"/>
  <c r="BA23" i="4" s="1"/>
  <c r="AD14" i="4"/>
  <c r="AD15" i="4" s="1"/>
  <c r="G14" i="4"/>
  <c r="O14" i="4"/>
  <c r="W14" i="4"/>
  <c r="AE14" i="4"/>
  <c r="AM14" i="4"/>
  <c r="AU14" i="4"/>
  <c r="BC14" i="4"/>
  <c r="U14" i="4"/>
  <c r="U15" i="4" s="1"/>
  <c r="AK14" i="4"/>
  <c r="AK15" i="4" s="1"/>
  <c r="N14" i="4"/>
  <c r="N15" i="4" s="1"/>
  <c r="AT14" i="4"/>
  <c r="H14" i="4"/>
  <c r="P14" i="4"/>
  <c r="X14" i="4"/>
  <c r="AF14" i="4"/>
  <c r="AN14" i="4"/>
  <c r="AV14" i="4"/>
  <c r="AV15" i="4" s="1"/>
  <c r="BD14" i="4"/>
  <c r="BD15" i="4" s="1"/>
  <c r="M14" i="4"/>
  <c r="BA14" i="4"/>
  <c r="V14" i="4"/>
  <c r="V15" i="4" s="1"/>
  <c r="BB14" i="4"/>
  <c r="I14" i="4"/>
  <c r="Q14" i="4"/>
  <c r="Y14" i="4"/>
  <c r="AG14" i="4"/>
  <c r="AO14" i="4"/>
  <c r="AW14" i="4"/>
  <c r="BE14" i="4"/>
  <c r="AH22" i="4"/>
  <c r="AH23" i="4" s="1"/>
  <c r="J22" i="4"/>
  <c r="J23" i="4" s="1"/>
  <c r="R22" i="4"/>
  <c r="R23" i="4" s="1"/>
  <c r="Z22" i="4"/>
  <c r="AP22" i="4"/>
  <c r="AP23" i="4" s="1"/>
  <c r="AX22" i="4"/>
  <c r="AX23" i="4" s="1"/>
  <c r="E14" i="4"/>
  <c r="E15" i="4" s="1"/>
  <c r="AC14" i="4"/>
  <c r="AS14" i="4"/>
  <c r="AS15" i="4" s="1"/>
  <c r="F14" i="4"/>
  <c r="AL14" i="4"/>
  <c r="AL15" i="4" s="1"/>
  <c r="AH14" i="4"/>
  <c r="AP14" i="4"/>
  <c r="AP15" i="4" s="1"/>
  <c r="AX14" i="4"/>
  <c r="AX15" i="4" s="1"/>
  <c r="AI22" i="4"/>
  <c r="K22" i="4"/>
  <c r="K23" i="4" s="1"/>
  <c r="S22" i="4"/>
  <c r="S23" i="4" s="1"/>
  <c r="AA22" i="4"/>
  <c r="AQ22" i="4"/>
  <c r="AY22" i="4"/>
  <c r="T24" i="4" l="1"/>
  <c r="T33" i="4" s="1"/>
  <c r="AC24" i="4"/>
  <c r="AC33" i="4" s="1"/>
  <c r="AC15" i="4"/>
  <c r="X24" i="4"/>
  <c r="X33" i="4" s="1"/>
  <c r="X15" i="4"/>
  <c r="AI24" i="4"/>
  <c r="AI33" i="4" s="1"/>
  <c r="AI23" i="4"/>
  <c r="P24" i="4"/>
  <c r="P33" i="4" s="1"/>
  <c r="P15" i="4"/>
  <c r="AB24" i="4"/>
  <c r="AB33" i="4" s="1"/>
  <c r="AB15" i="4"/>
  <c r="AY24" i="4"/>
  <c r="AY33" i="4" s="1"/>
  <c r="AY23" i="4"/>
  <c r="Z24" i="4"/>
  <c r="Z33" i="4" s="1"/>
  <c r="Z23" i="4"/>
  <c r="Y24" i="4"/>
  <c r="Y33" i="4" s="1"/>
  <c r="Y15" i="4"/>
  <c r="O24" i="4"/>
  <c r="O33" i="4" s="1"/>
  <c r="O15" i="4"/>
  <c r="D24" i="4"/>
  <c r="D33" i="4" s="1"/>
  <c r="Q24" i="4"/>
  <c r="Q33" i="4" s="1"/>
  <c r="Q15" i="4"/>
  <c r="G24" i="4"/>
  <c r="G33" i="4" s="1"/>
  <c r="G15" i="4"/>
  <c r="AA24" i="4"/>
  <c r="AA33" i="4" s="1"/>
  <c r="AA23" i="4"/>
  <c r="F24" i="4"/>
  <c r="F33" i="4" s="1"/>
  <c r="F15" i="4"/>
  <c r="I24" i="4"/>
  <c r="I33" i="4" s="1"/>
  <c r="I15" i="4"/>
  <c r="AF24" i="4"/>
  <c r="AF33" i="4" s="1"/>
  <c r="AF15" i="4"/>
  <c r="C24" i="4"/>
  <c r="C33" i="4" s="1"/>
  <c r="C23" i="4"/>
  <c r="M24" i="4"/>
  <c r="M33" i="4" s="1"/>
  <c r="M15" i="4"/>
  <c r="H24" i="4"/>
  <c r="H33" i="4" s="1"/>
  <c r="H15" i="4"/>
  <c r="AE24" i="4"/>
  <c r="AE33" i="4" s="1"/>
  <c r="AE15" i="4"/>
  <c r="K24" i="4"/>
  <c r="K33" i="4" s="1"/>
  <c r="W24" i="4"/>
  <c r="W33" i="4" s="1"/>
  <c r="W15" i="4"/>
  <c r="L24" i="4"/>
  <c r="L33" i="4" s="1"/>
  <c r="AQ24" i="4"/>
  <c r="AQ33" i="4" s="1"/>
  <c r="AQ23" i="4"/>
  <c r="BA24" i="4"/>
  <c r="BA33" i="4" s="1"/>
  <c r="BA15" i="4"/>
  <c r="AM24" i="4"/>
  <c r="AM33" i="4" s="1"/>
  <c r="AM15" i="4"/>
  <c r="AO24" i="4"/>
  <c r="AO33" i="4" s="1"/>
  <c r="AO15" i="4"/>
  <c r="AW24" i="4"/>
  <c r="AW33" i="4" s="1"/>
  <c r="AW15" i="4"/>
  <c r="AH24" i="4"/>
  <c r="AH33" i="4" s="1"/>
  <c r="AH15" i="4"/>
  <c r="AT24" i="4"/>
  <c r="AT33" i="4" s="1"/>
  <c r="AT15" i="4"/>
  <c r="AN24" i="4"/>
  <c r="AN33" i="4" s="1"/>
  <c r="AN15" i="4"/>
  <c r="BC24" i="4"/>
  <c r="BC33" i="4" s="1"/>
  <c r="BC15" i="4"/>
  <c r="AG24" i="4"/>
  <c r="AG33" i="4" s="1"/>
  <c r="AG15" i="4"/>
  <c r="BB24" i="4"/>
  <c r="BB33" i="4" s="1"/>
  <c r="BB15" i="4"/>
  <c r="BE24" i="4"/>
  <c r="BE33" i="4" s="1"/>
  <c r="BE15" i="4"/>
  <c r="AU24" i="4"/>
  <c r="AU33" i="4" s="1"/>
  <c r="AU15" i="4"/>
  <c r="AJ24" i="4"/>
  <c r="AJ33" i="4" s="1"/>
  <c r="AJ15" i="4"/>
  <c r="AL24" i="4"/>
  <c r="AL33" i="4" s="1"/>
  <c r="BD24" i="4"/>
  <c r="BD33" i="4" s="1"/>
  <c r="J24" i="4"/>
  <c r="J33" i="4" s="1"/>
  <c r="AV24" i="4"/>
  <c r="AV33" i="4" s="1"/>
  <c r="N24" i="4"/>
  <c r="N33" i="4" s="1"/>
  <c r="S24" i="4"/>
  <c r="S33" i="4" s="1"/>
  <c r="AD24" i="4"/>
  <c r="AD33" i="4" s="1"/>
  <c r="AZ24" i="4"/>
  <c r="AZ33" i="4" s="1"/>
  <c r="R24" i="4"/>
  <c r="R33" i="4" s="1"/>
  <c r="V24" i="4"/>
  <c r="V33" i="4" s="1"/>
  <c r="AR24" i="4"/>
  <c r="AR33" i="4" s="1"/>
  <c r="E24" i="4"/>
  <c r="E33" i="4" s="1"/>
  <c r="AK24" i="4"/>
  <c r="AK33" i="4" s="1"/>
  <c r="AX24" i="4"/>
  <c r="AX33" i="4" s="1"/>
  <c r="U24" i="4"/>
  <c r="U33" i="4" s="1"/>
  <c r="AS24" i="4"/>
  <c r="AS33" i="4" s="1"/>
  <c r="AP24" i="4"/>
  <c r="AP33" i="4" s="1"/>
  <c r="A33" i="4" l="1"/>
  <c r="A35" i="4" s="1"/>
  <c r="BF33" i="4"/>
  <c r="BF15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Charles White</author>
  </authors>
  <commentList>
    <comment ref="B8" authorId="0" shapeId="0" xr:uid="{E38ED336-C503-4A8F-9084-B2DC7782FE1E}">
      <text>
        <r>
          <rPr>
            <b/>
            <sz val="9"/>
            <color indexed="81"/>
            <rFont val="Tahoma"/>
            <family val="2"/>
          </rPr>
          <t>JSM's BEST WELL!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8" authorId="0" shapeId="0" xr:uid="{34929368-AD90-4892-9695-E35C5DFE3EF0}">
      <text>
        <r>
          <rPr>
            <b/>
            <sz val="9"/>
            <color indexed="81"/>
            <rFont val="Tahoma"/>
            <family val="2"/>
          </rPr>
          <t>Charles White:</t>
        </r>
        <r>
          <rPr>
            <sz val="9"/>
            <color indexed="81"/>
            <rFont val="Tahoma"/>
            <family val="2"/>
          </rPr>
          <t xml:space="preserve">
Recompletion or SIDE TRACK</t>
        </r>
      </text>
    </comment>
    <comment ref="G19" authorId="0" shapeId="0" xr:uid="{66176BC9-62D5-4B9F-9001-064FCB91F83E}">
      <text>
        <r>
          <rPr>
            <b/>
            <sz val="9"/>
            <color indexed="81"/>
            <rFont val="Tahoma"/>
            <family val="2"/>
          </rPr>
          <t>Charles White:</t>
        </r>
        <r>
          <rPr>
            <sz val="9"/>
            <color indexed="81"/>
            <rFont val="Tahoma"/>
            <family val="2"/>
          </rPr>
          <t xml:space="preserve">
Recompletion???</t>
        </r>
      </text>
    </comment>
    <comment ref="AQ20" authorId="0" shapeId="0" xr:uid="{2610F9A2-57DA-40F7-8BB1-0ED2CE42DD1E}">
      <text>
        <r>
          <rPr>
            <b/>
            <sz val="9"/>
            <color indexed="81"/>
            <rFont val="Tahoma"/>
            <family val="2"/>
          </rPr>
          <t xml:space="preserve">C White: </t>
        </r>
        <r>
          <rPr>
            <sz val="9"/>
            <color indexed="81"/>
            <rFont val="Tahoma"/>
            <family val="2"/>
          </rPr>
          <t>Recompletion or SIDE TRACK</t>
        </r>
      </text>
    </comment>
    <comment ref="G27" authorId="0" shapeId="0" xr:uid="{DE2FD19A-38A8-4847-A2AF-8218E656E57C}">
      <text>
        <r>
          <rPr>
            <b/>
            <sz val="9"/>
            <color indexed="81"/>
            <rFont val="Tahoma"/>
            <family val="2"/>
          </rPr>
          <t xml:space="preserve">Charles White: </t>
        </r>
        <r>
          <rPr>
            <sz val="9"/>
            <color indexed="81"/>
            <rFont val="Tahoma"/>
            <family val="2"/>
          </rPr>
          <t>SIDE TRACK to replace LOST WELL?</t>
        </r>
      </text>
    </comment>
    <comment ref="J27" authorId="0" shapeId="0" xr:uid="{BF0CD6A2-3590-4C0A-B6BF-C834BA23A28C}">
      <text>
        <r>
          <rPr>
            <b/>
            <sz val="9"/>
            <color indexed="81"/>
            <rFont val="Tahoma"/>
            <family val="2"/>
          </rPr>
          <t xml:space="preserve">Charles White: </t>
        </r>
        <r>
          <rPr>
            <sz val="9"/>
            <color indexed="81"/>
            <rFont val="Tahoma"/>
            <family val="2"/>
          </rPr>
          <t>SIDE TRACK to replace LOST WELL?</t>
        </r>
      </text>
    </comment>
    <comment ref="AB27" authorId="0" shapeId="0" xr:uid="{AA2878DB-84DC-4E85-8D5A-03AAE0C2569B}">
      <text>
        <r>
          <rPr>
            <b/>
            <sz val="9"/>
            <color indexed="81"/>
            <rFont val="Tahoma"/>
            <family val="2"/>
          </rPr>
          <t xml:space="preserve">C White: </t>
        </r>
        <r>
          <rPr>
            <sz val="9"/>
            <color indexed="81"/>
            <rFont val="Tahoma"/>
            <family val="2"/>
          </rPr>
          <t>SIDE TRACK to replace LOST WELL?</t>
        </r>
      </text>
    </comment>
    <comment ref="AQ27" authorId="0" shapeId="0" xr:uid="{BFE5F762-AC37-46C0-99A0-D5CDE9A910F3}">
      <text>
        <r>
          <rPr>
            <b/>
            <sz val="9"/>
            <color indexed="81"/>
            <rFont val="Tahoma"/>
            <family val="2"/>
          </rPr>
          <t xml:space="preserve">C White: </t>
        </r>
        <r>
          <rPr>
            <sz val="9"/>
            <color indexed="81"/>
            <rFont val="Tahoma"/>
            <family val="2"/>
          </rPr>
          <t>SIDE TRACK to replace LOST WELL?</t>
        </r>
      </text>
    </comment>
    <comment ref="A36" authorId="0" shapeId="0" xr:uid="{09B3FFD7-6160-49F5-B734-7FAFEFA1F43A}">
      <text>
        <r>
          <rPr>
            <b/>
            <sz val="9"/>
            <color indexed="81"/>
            <rFont val="Tahoma"/>
            <family val="2"/>
          </rPr>
          <t xml:space="preserve">C White: TOTAL CAPEX thru Phase III </t>
        </r>
        <r>
          <rPr>
            <sz val="9"/>
            <color indexed="81"/>
            <rFont val="Tahoma"/>
            <family val="2"/>
          </rPr>
          <t>= $10B with these ASSUMPTIONS</t>
        </r>
      </text>
    </comment>
  </commentList>
</comments>
</file>

<file path=xl/sharedStrings.xml><?xml version="1.0" encoding="utf-8"?>
<sst xmlns="http://schemas.openxmlformats.org/spreadsheetml/2006/main" count="125" uniqueCount="60">
  <si>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</si>
  <si>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</si>
  <si>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</si>
  <si>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</si>
  <si>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</si>
  <si>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</si>
  <si>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</si>
  <si>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</si>
  <si>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</si>
  <si>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</si>
  <si>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</si>
  <si>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</si>
  <si>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WR678 PN001</t>
  </si>
  <si>
    <t>WR678 PN002</t>
  </si>
  <si>
    <t>WR678 PS001</t>
  </si>
  <si>
    <t>WR678 PS002</t>
  </si>
  <si>
    <t>WR678 PS003</t>
  </si>
  <si>
    <t>WR678 PS004</t>
  </si>
  <si>
    <t>WR678 PS005</t>
  </si>
  <si>
    <t>WR678 PN007</t>
  </si>
  <si>
    <t>WR678 PS007</t>
  </si>
  <si>
    <t>WR759 PS001</t>
  </si>
  <si>
    <t>WR759 PS002</t>
  </si>
  <si>
    <t>WR759 PS004</t>
  </si>
  <si>
    <t>WR759 PS005</t>
  </si>
  <si>
    <t>WR759 PS007</t>
  </si>
  <si>
    <t>WR759 PS008</t>
  </si>
  <si>
    <t>JSM Total AVGMoly</t>
  </si>
  <si>
    <t>St. Malo</t>
  </si>
  <si>
    <t>JACK</t>
  </si>
  <si>
    <t>New St. Malo WELL</t>
  </si>
  <si>
    <t>New JACK WELL</t>
  </si>
  <si>
    <t>Lost Well</t>
  </si>
  <si>
    <t>PHASE THREE = 4 producers (2 in St. M and 2 Jack?)</t>
  </si>
  <si>
    <t>Total New WELLs</t>
  </si>
  <si>
    <t>BRENT Price</t>
  </si>
  <si>
    <t>TOTAL WELL COUNT</t>
  </si>
  <si>
    <t>St. MALO wells</t>
  </si>
  <si>
    <t>JACK wellls</t>
  </si>
  <si>
    <t>AVG</t>
  </si>
  <si>
    <t>AVG bopd/well</t>
  </si>
  <si>
    <t>PHASE TWO = 4 producers (4 in St. M and 1 Jack - a SIDETRACK?)</t>
  </si>
  <si>
    <t>TOTALS</t>
  </si>
  <si>
    <t>JSM PHASE ONE (7 wells… 3 StM &amp; 4 Jack + 2 recompletions on Jack)</t>
  </si>
  <si>
    <t>15 wells: 9StM + 6Jack
w/ 4 Recompletions or Sidetracks in Jack</t>
  </si>
  <si>
    <t>PEAK</t>
  </si>
  <si>
    <t>CAPEX</t>
  </si>
  <si>
    <t>Net REVENUE</t>
  </si>
  <si>
    <t>Net REV. w/ $15 OPEX</t>
  </si>
  <si>
    <t>OPEX</t>
  </si>
  <si>
    <t>NET NPV</t>
  </si>
  <si>
    <t>BASE Facilities</t>
  </si>
  <si>
    <t>Ph. III infrastructure</t>
  </si>
  <si>
    <t>JACK Recompletion</t>
  </si>
  <si>
    <t>NPV @ Rate</t>
  </si>
  <si>
    <t>COST ASSUMPTIONS</t>
  </si>
  <si>
    <t>DAYS</t>
  </si>
  <si>
    <t>TOTAL BBLS produced</t>
  </si>
  <si>
    <t>JACK AVG bopd</t>
  </si>
  <si>
    <t>JSM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</si>
</sst>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&quot;$&quot;#,##0_);[Red]\(&quot;$&quot;#,##0\)"/>
    <numFmt numFmtId="165" formatCode="&quot;$&quot;#,##0.00_);[Red]\(&quot;$&quot;#,##0.00\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_(* #,##0_);_(* \(#,##0\);_(* &quot;-&quot;??_);_(@_)"/>
    <numFmt numFmtId="169" formatCode="_(&quot;$&quot;* #,##0_);_(&quot;$&quot;* \(#,##0\);_(&quot;$&quot;* &quot;-&quot;??_);_(@_)"/>
    <numFmt numFmtId="172" formatCode="&quot;$&quot;#,##0.00"/>
  </numFmts>
  <fonts count="17" x14ac:knownFonts="1">
    <font>
      <sz val="10"/>
      <color rgb="FF000000"/>
      <name val="Times New Roman"/>
      <charset val="204"/>
    </font>
    <font>
      <sz val="10"/>
      <color rgb="FF000000"/>
      <name val="Times New Roman"/>
      <charset val="204"/>
    </font>
    <font>
      <sz val="12"/>
      <color rgb="FF000000"/>
      <name val="Eras Medium ITC"/>
      <family val="2"/>
    </font>
    <font>
      <sz val="10"/>
      <color rgb="FF000000"/>
      <name val="Eras Medium ITC"/>
      <family val="2"/>
    </font>
    <font>
      <u/>
      <sz val="12"/>
      <color rgb="FF000000"/>
      <name val="Eras Medium ITC"/>
      <family val="2"/>
    </font>
    <font>
      <b/>
      <sz val="12"/>
      <color rgb="FF000000"/>
      <name val="Eras Medium ITC"/>
      <family val="2"/>
    </font>
    <font>
      <b/>
      <sz val="12"/>
      <color rgb="FF000000"/>
      <name val="Times New Roman"/>
      <family val="1"/>
    </font>
    <font>
      <sz val="11"/>
      <color rgb="FF000000"/>
      <name val="Times New Roman"/>
      <family val="1"/>
    </font>
    <font>
      <sz val="12"/>
      <color rgb="FF000000"/>
      <name val="Times New Roman"/>
      <family val="1"/>
    </font>
    <font>
      <sz val="10"/>
      <color rgb="FF000000"/>
      <name val="Times New Roman"/>
      <family val="1"/>
    </font>
    <font>
      <sz val="8"/>
      <name val="Times New Roman"/>
      <family val="1"/>
    </font>
    <font>
      <b/>
      <sz val="10"/>
      <color rgb="FF00000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000000"/>
      <name val="Times New Roman"/>
      <family val="1"/>
    </font>
    <font>
      <b/>
      <sz val="10"/>
      <color rgb="FF000000"/>
      <name val="Eras Medium ITC"/>
      <family val="2"/>
    </font>
    <font>
      <b/>
      <sz val="11"/>
      <color rgb="FFFF0000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</cellStyleXfs>
  <cellXfs count="61"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/>
    </xf>
    <xf numFmtId="168" fontId="2" fillId="0" borderId="0" xfId="1" applyNumberFormat="1" applyFont="1" applyFill="1" applyBorder="1" applyAlignment="1">
      <alignment horizontal="left" vertical="top"/>
    </xf>
    <xf numFmtId="0" fontId="2" fillId="0" borderId="0" xfId="0" applyFont="1" applyAlignment="1">
      <alignment horizontal="center" vertical="top"/>
    </xf>
    <xf numFmtId="168" fontId="4" fillId="0" borderId="0" xfId="1" applyNumberFormat="1" applyFont="1" applyFill="1" applyBorder="1" applyAlignment="1">
      <alignment horizontal="left" vertical="top"/>
    </xf>
    <xf numFmtId="168" fontId="2" fillId="0" borderId="1" xfId="0" applyNumberFormat="1" applyFont="1" applyBorder="1" applyAlignment="1">
      <alignment horizontal="left" vertical="top"/>
    </xf>
    <xf numFmtId="0" fontId="0" fillId="0" borderId="0" xfId="0" applyAlignment="1">
      <alignment horizontal="center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right" vertical="top"/>
    </xf>
    <xf numFmtId="0" fontId="0" fillId="0" borderId="0" xfId="0" applyAlignment="1">
      <alignment horizontal="right" vertical="top"/>
    </xf>
    <xf numFmtId="168" fontId="2" fillId="3" borderId="0" xfId="1" applyNumberFormat="1" applyFont="1" applyFill="1" applyBorder="1" applyAlignment="1">
      <alignment horizontal="left" vertical="top"/>
    </xf>
    <xf numFmtId="0" fontId="0" fillId="3" borderId="0" xfId="0" applyFill="1" applyAlignment="1">
      <alignment horizontal="center" vertical="top"/>
    </xf>
    <xf numFmtId="168" fontId="2" fillId="4" borderId="0" xfId="1" applyNumberFormat="1" applyFont="1" applyFill="1" applyBorder="1" applyAlignment="1">
      <alignment horizontal="left" vertical="top"/>
    </xf>
    <xf numFmtId="168" fontId="8" fillId="2" borderId="0" xfId="0" applyNumberFormat="1" applyFont="1" applyFill="1" applyAlignment="1">
      <alignment horizontal="left" vertical="top"/>
    </xf>
    <xf numFmtId="0" fontId="0" fillId="5" borderId="0" xfId="0" applyFill="1" applyAlignment="1">
      <alignment horizontal="left" vertical="top"/>
    </xf>
    <xf numFmtId="0" fontId="7" fillId="0" borderId="0" xfId="0" applyFont="1" applyAlignment="1">
      <alignment horizontal="center" vertical="top"/>
    </xf>
    <xf numFmtId="0" fontId="8" fillId="6" borderId="0" xfId="0" applyFont="1" applyFill="1" applyAlignment="1">
      <alignment horizontal="center" vertical="top"/>
    </xf>
    <xf numFmtId="0" fontId="8" fillId="7" borderId="0" xfId="0" applyFont="1" applyFill="1" applyAlignment="1">
      <alignment horizontal="center" vertical="top"/>
    </xf>
    <xf numFmtId="0" fontId="0" fillId="7" borderId="0" xfId="0" applyFill="1" applyAlignment="1">
      <alignment horizontal="center" vertical="top"/>
    </xf>
    <xf numFmtId="0" fontId="9" fillId="0" borderId="0" xfId="0" applyFont="1" applyAlignment="1">
      <alignment horizontal="left" vertical="top"/>
    </xf>
    <xf numFmtId="0" fontId="9" fillId="0" borderId="0" xfId="0" applyFont="1" applyAlignment="1">
      <alignment horizontal="right" vertical="top"/>
    </xf>
    <xf numFmtId="0" fontId="0" fillId="8" borderId="0" xfId="0" applyFill="1" applyAlignment="1">
      <alignment horizontal="center" vertical="top"/>
    </xf>
    <xf numFmtId="168" fontId="8" fillId="5" borderId="0" xfId="0" applyNumberFormat="1" applyFont="1" applyFill="1" applyAlignment="1">
      <alignment horizontal="left" vertical="top"/>
    </xf>
    <xf numFmtId="172" fontId="2" fillId="0" borderId="1" xfId="0" applyNumberFormat="1" applyFont="1" applyBorder="1" applyAlignment="1">
      <alignment horizontal="left" vertical="top"/>
    </xf>
    <xf numFmtId="0" fontId="11" fillId="0" borderId="0" xfId="0" applyFont="1" applyAlignment="1">
      <alignment horizontal="right" vertical="top"/>
    </xf>
    <xf numFmtId="0" fontId="11" fillId="0" borderId="0" xfId="0" applyFont="1" applyAlignment="1">
      <alignment horizontal="left" vertical="top"/>
    </xf>
    <xf numFmtId="0" fontId="11" fillId="0" borderId="1" xfId="0" applyFont="1" applyBorder="1" applyAlignment="1">
      <alignment horizontal="center" vertical="top"/>
    </xf>
    <xf numFmtId="168" fontId="8" fillId="7" borderId="0" xfId="0" applyNumberFormat="1" applyFont="1" applyFill="1" applyAlignment="1">
      <alignment horizontal="center" vertical="top"/>
    </xf>
    <xf numFmtId="168" fontId="8" fillId="6" borderId="0" xfId="0" applyNumberFormat="1" applyFont="1" applyFill="1" applyAlignment="1">
      <alignment horizontal="center" vertical="top"/>
    </xf>
    <xf numFmtId="168" fontId="0" fillId="0" borderId="1" xfId="0" applyNumberFormat="1" applyBorder="1" applyAlignment="1">
      <alignment horizontal="left" vertical="top"/>
    </xf>
    <xf numFmtId="168" fontId="2" fillId="3" borderId="0" xfId="1" applyNumberFormat="1" applyFont="1" applyFill="1" applyBorder="1" applyAlignment="1">
      <alignment horizontal="right" vertical="top"/>
    </xf>
    <xf numFmtId="0" fontId="7" fillId="0" borderId="0" xfId="0" applyFont="1" applyAlignment="1">
      <alignment horizontal="left" vertical="top"/>
    </xf>
    <xf numFmtId="0" fontId="9" fillId="0" borderId="0" xfId="0" applyFont="1" applyAlignment="1">
      <alignment horizontal="center" vertical="top"/>
    </xf>
    <xf numFmtId="0" fontId="8" fillId="6" borderId="1" xfId="0" applyFont="1" applyFill="1" applyBorder="1" applyAlignment="1">
      <alignment horizontal="center" vertical="top"/>
    </xf>
    <xf numFmtId="0" fontId="8" fillId="7" borderId="1" xfId="0" applyFont="1" applyFill="1" applyBorder="1" applyAlignment="1">
      <alignment horizontal="center" vertical="top"/>
    </xf>
    <xf numFmtId="0" fontId="3" fillId="0" borderId="0" xfId="0" applyFont="1" applyAlignment="1">
      <alignment horizontal="center" vertical="top"/>
    </xf>
    <xf numFmtId="172" fontId="2" fillId="0" borderId="2" xfId="0" applyNumberFormat="1" applyFont="1" applyBorder="1" applyAlignment="1">
      <alignment horizontal="left" vertical="top"/>
    </xf>
    <xf numFmtId="0" fontId="9" fillId="0" borderId="1" xfId="0" applyFont="1" applyBorder="1" applyAlignment="1">
      <alignment horizontal="center" vertical="top"/>
    </xf>
    <xf numFmtId="168" fontId="0" fillId="0" borderId="1" xfId="0" applyNumberFormat="1" applyBorder="1" applyAlignment="1">
      <alignment horizontal="center" vertical="top"/>
    </xf>
    <xf numFmtId="168" fontId="5" fillId="3" borderId="0" xfId="1" applyNumberFormat="1" applyFont="1" applyFill="1" applyBorder="1" applyAlignment="1">
      <alignment horizontal="left" vertical="top"/>
    </xf>
    <xf numFmtId="0" fontId="5" fillId="0" borderId="0" xfId="0" applyFont="1" applyAlignment="1">
      <alignment horizontal="right" vertical="top"/>
    </xf>
    <xf numFmtId="0" fontId="2" fillId="5" borderId="0" xfId="0" applyFont="1" applyFill="1" applyAlignment="1">
      <alignment horizontal="center" vertical="top"/>
    </xf>
    <xf numFmtId="165" fontId="0" fillId="0" borderId="0" xfId="0" applyNumberFormat="1" applyAlignment="1">
      <alignment horizontal="center" vertical="top"/>
    </xf>
    <xf numFmtId="169" fontId="0" fillId="0" borderId="0" xfId="2" applyNumberFormat="1" applyFont="1" applyAlignment="1">
      <alignment horizontal="left" vertical="top"/>
    </xf>
    <xf numFmtId="169" fontId="0" fillId="0" borderId="1" xfId="2" applyNumberFormat="1" applyFont="1" applyBorder="1" applyAlignment="1">
      <alignment horizontal="left" vertical="top"/>
    </xf>
    <xf numFmtId="169" fontId="0" fillId="0" borderId="0" xfId="0" applyNumberFormat="1" applyAlignment="1">
      <alignment horizontal="left" vertical="top"/>
    </xf>
    <xf numFmtId="164" fontId="0" fillId="0" borderId="1" xfId="0" applyNumberFormat="1" applyBorder="1" applyAlignment="1">
      <alignment horizontal="left" vertical="top"/>
    </xf>
    <xf numFmtId="164" fontId="0" fillId="0" borderId="1" xfId="0" applyNumberFormat="1" applyBorder="1" applyAlignment="1">
      <alignment horizontal="right" vertical="top"/>
    </xf>
    <xf numFmtId="169" fontId="0" fillId="0" borderId="1" xfId="0" applyNumberFormat="1" applyBorder="1" applyAlignment="1">
      <alignment horizontal="left" vertical="top"/>
    </xf>
    <xf numFmtId="169" fontId="0" fillId="0" borderId="2" xfId="2" applyNumberFormat="1" applyFont="1" applyBorder="1" applyAlignment="1">
      <alignment horizontal="left" vertical="top"/>
    </xf>
    <xf numFmtId="9" fontId="16" fillId="2" borderId="0" xfId="0" applyNumberFormat="1" applyFont="1" applyFill="1" applyAlignment="1">
      <alignment horizontal="left" vertical="top"/>
    </xf>
    <xf numFmtId="0" fontId="0" fillId="5" borderId="0" xfId="0" applyFill="1" applyAlignment="1">
      <alignment horizontal="right" vertical="top"/>
    </xf>
    <xf numFmtId="0" fontId="9" fillId="5" borderId="0" xfId="0" applyFont="1" applyFill="1" applyAlignment="1">
      <alignment horizontal="left" vertical="top"/>
    </xf>
    <xf numFmtId="0" fontId="8" fillId="7" borderId="0" xfId="0" applyFont="1" applyFill="1" applyAlignment="1">
      <alignment horizontal="left" vertical="top"/>
    </xf>
    <xf numFmtId="168" fontId="14" fillId="5" borderId="0" xfId="0" applyNumberFormat="1" applyFont="1" applyFill="1" applyAlignment="1">
      <alignment horizontal="left" vertical="top"/>
    </xf>
    <xf numFmtId="0" fontId="14" fillId="5" borderId="0" xfId="0" applyFont="1" applyFill="1" applyAlignment="1">
      <alignment horizontal="left" vertical="top"/>
    </xf>
    <xf numFmtId="0" fontId="14" fillId="5" borderId="0" xfId="0" applyFont="1" applyFill="1" applyAlignment="1">
      <alignment horizontal="center" vertical="top"/>
    </xf>
    <xf numFmtId="0" fontId="7" fillId="5" borderId="0" xfId="0" applyFont="1" applyFill="1" applyAlignment="1">
      <alignment horizontal="center" vertical="top"/>
    </xf>
    <xf numFmtId="0" fontId="15" fillId="9" borderId="0" xfId="0" applyFont="1" applyFill="1" applyAlignment="1">
      <alignment horizontal="center" vertical="center" wrapText="1"/>
    </xf>
    <xf numFmtId="0" fontId="15" fillId="9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9" defaultPivotStyle="PivotStyleLight16"/>
  <colors>
    <mruColors>
      <color rgb="FF99FFCC"/>
      <color rgb="FFFFFF99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3600" b="1"/>
              <a:t>Jack St Malo BSEE Production Data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'NPV w Mo''ly data chart'!$B$5</c:f>
              <c:strCache>
                <c:ptCount val="1"/>
                <c:pt idx="0">
                  <c:v>WR678 PN001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'NPV w Mo''ly data chart'!$C$2:$BE$3</c15:sqref>
                  </c15:fullRef>
                  <c15:levelRef>
                    <c15:sqref>'NPV w Mo''ly data chart'!$C$2:$BE$2</c15:sqref>
                  </c15:levelRef>
                </c:ext>
              </c:extLst>
              <c:f>'NPV w Mo''ly data chart'!$C$2:$BE$2</c:f>
              <c:strCache>
                <c:ptCount val="55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  <c:pt idx="13">
                  <c:v>January</c:v>
                </c:pt>
                <c:pt idx="14">
                  <c:v>February</c:v>
                </c:pt>
                <c:pt idx="15">
                  <c:v>March</c:v>
                </c:pt>
                <c:pt idx="16">
                  <c:v>April</c:v>
                </c:pt>
                <c:pt idx="17">
                  <c:v>May</c:v>
                </c:pt>
                <c:pt idx="18">
                  <c:v>June</c:v>
                </c:pt>
                <c:pt idx="19">
                  <c:v>July</c:v>
                </c:pt>
                <c:pt idx="20">
                  <c:v>August</c:v>
                </c:pt>
                <c:pt idx="21">
                  <c:v>September</c:v>
                </c:pt>
                <c:pt idx="22">
                  <c:v>October</c:v>
                </c:pt>
                <c:pt idx="23">
                  <c:v>November</c:v>
                </c:pt>
                <c:pt idx="24">
                  <c:v>December</c:v>
                </c:pt>
                <c:pt idx="25">
                  <c:v>January</c:v>
                </c:pt>
                <c:pt idx="26">
                  <c:v>February</c:v>
                </c:pt>
                <c:pt idx="27">
                  <c:v>March</c:v>
                </c:pt>
                <c:pt idx="28">
                  <c:v>April</c:v>
                </c:pt>
                <c:pt idx="29">
                  <c:v>May</c:v>
                </c:pt>
                <c:pt idx="30">
                  <c:v>June</c:v>
                </c:pt>
                <c:pt idx="31">
                  <c:v>July</c:v>
                </c:pt>
                <c:pt idx="32">
                  <c:v>August</c:v>
                </c:pt>
                <c:pt idx="33">
                  <c:v>September</c:v>
                </c:pt>
                <c:pt idx="34">
                  <c:v>October</c:v>
                </c:pt>
                <c:pt idx="35">
                  <c:v>November</c:v>
                </c:pt>
                <c:pt idx="36">
                  <c:v>December</c:v>
                </c:pt>
                <c:pt idx="37">
                  <c:v>January</c:v>
                </c:pt>
                <c:pt idx="38">
                  <c:v>February</c:v>
                </c:pt>
                <c:pt idx="39">
                  <c:v>March</c:v>
                </c:pt>
                <c:pt idx="40">
                  <c:v>April</c:v>
                </c:pt>
                <c:pt idx="41">
                  <c:v>May</c:v>
                </c:pt>
                <c:pt idx="42">
                  <c:v>June</c:v>
                </c:pt>
                <c:pt idx="43">
                  <c:v>July</c:v>
                </c:pt>
                <c:pt idx="44">
                  <c:v>August</c:v>
                </c:pt>
                <c:pt idx="45">
                  <c:v>September</c:v>
                </c:pt>
                <c:pt idx="46">
                  <c:v>October</c:v>
                </c:pt>
                <c:pt idx="47">
                  <c:v>November</c:v>
                </c:pt>
                <c:pt idx="48">
                  <c:v>December</c:v>
                </c:pt>
                <c:pt idx="49">
                  <c:v>January</c:v>
                </c:pt>
                <c:pt idx="50">
                  <c:v>February</c:v>
                </c:pt>
                <c:pt idx="51">
                  <c:v>March</c:v>
                </c:pt>
                <c:pt idx="52">
                  <c:v>April</c:v>
                </c:pt>
                <c:pt idx="53">
                  <c:v>May</c:v>
                </c:pt>
                <c:pt idx="54">
                  <c:v>June</c:v>
                </c:pt>
              </c:strCache>
            </c:strRef>
          </c:cat>
          <c:val>
            <c:numRef>
              <c:f>'NPV w Mo''ly data chart'!$C$5:$BE$5</c:f>
              <c:numCache>
                <c:formatCode>_(* #,##0_);_(* \(#,##0\);_(* "-"??_);_(@_)</c:formatCode>
                <c:ptCount val="55"/>
                <c:pt idx="0">
                  <c:v>0</c:v>
                </c:pt>
                <c:pt idx="1">
                  <c:v>7978.3809523809523</c:v>
                </c:pt>
                <c:pt idx="2">
                  <c:v>9853</c:v>
                </c:pt>
                <c:pt idx="3">
                  <c:v>11042.193548387097</c:v>
                </c:pt>
                <c:pt idx="4">
                  <c:v>10748.866666666667</c:v>
                </c:pt>
                <c:pt idx="5">
                  <c:v>10206.612903225807</c:v>
                </c:pt>
                <c:pt idx="6">
                  <c:v>10205.5</c:v>
                </c:pt>
                <c:pt idx="7">
                  <c:v>10089.380952380952</c:v>
                </c:pt>
                <c:pt idx="8">
                  <c:v>9485.5483870967746</c:v>
                </c:pt>
                <c:pt idx="9">
                  <c:v>9431.9333333333325</c:v>
                </c:pt>
                <c:pt idx="10">
                  <c:v>8844.5161290322576</c:v>
                </c:pt>
                <c:pt idx="11">
                  <c:v>7649.8888888888887</c:v>
                </c:pt>
                <c:pt idx="12">
                  <c:v>8007.6451612903229</c:v>
                </c:pt>
                <c:pt idx="13">
                  <c:v>8039.8064516129034</c:v>
                </c:pt>
                <c:pt idx="14">
                  <c:v>7953.0689655172409</c:v>
                </c:pt>
                <c:pt idx="15">
                  <c:v>8173.9032258064517</c:v>
                </c:pt>
                <c:pt idx="16">
                  <c:v>7626.2666666666664</c:v>
                </c:pt>
                <c:pt idx="17">
                  <c:v>7860.8709677419356</c:v>
                </c:pt>
                <c:pt idx="18">
                  <c:v>7935.2333333333336</c:v>
                </c:pt>
                <c:pt idx="19">
                  <c:v>6824.0645161290322</c:v>
                </c:pt>
                <c:pt idx="20">
                  <c:v>6681.4516129032254</c:v>
                </c:pt>
                <c:pt idx="21">
                  <c:v>6531.6333333333332</c:v>
                </c:pt>
                <c:pt idx="22">
                  <c:v>6117.8064516129034</c:v>
                </c:pt>
                <c:pt idx="23">
                  <c:v>6007.2857142857147</c:v>
                </c:pt>
                <c:pt idx="24">
                  <c:v>6240.5483870967746</c:v>
                </c:pt>
                <c:pt idx="25">
                  <c:v>6038.0967741935483</c:v>
                </c:pt>
                <c:pt idx="26">
                  <c:v>5927.4642857142853</c:v>
                </c:pt>
                <c:pt idx="27">
                  <c:v>6011.9032258064517</c:v>
                </c:pt>
                <c:pt idx="28">
                  <c:v>6013.4</c:v>
                </c:pt>
                <c:pt idx="29">
                  <c:v>5647.1935483870966</c:v>
                </c:pt>
                <c:pt idx="30">
                  <c:v>5935.5</c:v>
                </c:pt>
                <c:pt idx="31">
                  <c:v>6113.8709677419356</c:v>
                </c:pt>
                <c:pt idx="32">
                  <c:v>5631.6129032258068</c:v>
                </c:pt>
                <c:pt idx="33">
                  <c:v>6224.0333333333338</c:v>
                </c:pt>
                <c:pt idx="34">
                  <c:v>5683.1785714285716</c:v>
                </c:pt>
                <c:pt idx="35">
                  <c:v>5987.3</c:v>
                </c:pt>
                <c:pt idx="36">
                  <c:v>6092.5806451612907</c:v>
                </c:pt>
                <c:pt idx="37">
                  <c:v>5944.6451612903229</c:v>
                </c:pt>
                <c:pt idx="38">
                  <c:v>6072.0357142857147</c:v>
                </c:pt>
                <c:pt idx="39">
                  <c:v>6044.9354838709678</c:v>
                </c:pt>
                <c:pt idx="40">
                  <c:v>5611.7666666666664</c:v>
                </c:pt>
                <c:pt idx="41">
                  <c:v>6176.1935483870966</c:v>
                </c:pt>
                <c:pt idx="42">
                  <c:v>6002.5666666666666</c:v>
                </c:pt>
                <c:pt idx="43">
                  <c:v>6444.4838709677415</c:v>
                </c:pt>
                <c:pt idx="44">
                  <c:v>6884.9032258064517</c:v>
                </c:pt>
                <c:pt idx="45">
                  <c:v>6609.666666666667</c:v>
                </c:pt>
                <c:pt idx="46">
                  <c:v>6472.8064516129034</c:v>
                </c:pt>
                <c:pt idx="47">
                  <c:v>5804.6896551724139</c:v>
                </c:pt>
                <c:pt idx="48">
                  <c:v>5995.0967741935483</c:v>
                </c:pt>
                <c:pt idx="49">
                  <c:v>5995.2258064516127</c:v>
                </c:pt>
                <c:pt idx="50">
                  <c:v>5705.2857142857147</c:v>
                </c:pt>
                <c:pt idx="51">
                  <c:v>5507.4838709677415</c:v>
                </c:pt>
                <c:pt idx="52">
                  <c:v>5643.9</c:v>
                </c:pt>
                <c:pt idx="53">
                  <c:v>5442.727272727273</c:v>
                </c:pt>
                <c:pt idx="54">
                  <c:v>5243.4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B7-4FD8-A165-9B2E23958F33}"/>
            </c:ext>
          </c:extLst>
        </c:ser>
        <c:ser>
          <c:idx val="2"/>
          <c:order val="2"/>
          <c:tx>
            <c:strRef>
              <c:f>'NPV w Mo''ly data chart'!$B$6</c:f>
              <c:strCache>
                <c:ptCount val="1"/>
                <c:pt idx="0">
                  <c:v>WR678 PN002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'NPV w Mo''ly data chart'!$C$2:$BE$3</c15:sqref>
                  </c15:fullRef>
                  <c15:levelRef>
                    <c15:sqref>'NPV w Mo''ly data chart'!$C$2:$BE$2</c15:sqref>
                  </c15:levelRef>
                </c:ext>
              </c:extLst>
              <c:f>'NPV w Mo''ly data chart'!$C$2:$BE$2</c:f>
              <c:strCache>
                <c:ptCount val="55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  <c:pt idx="13">
                  <c:v>January</c:v>
                </c:pt>
                <c:pt idx="14">
                  <c:v>February</c:v>
                </c:pt>
                <c:pt idx="15">
                  <c:v>March</c:v>
                </c:pt>
                <c:pt idx="16">
                  <c:v>April</c:v>
                </c:pt>
                <c:pt idx="17">
                  <c:v>May</c:v>
                </c:pt>
                <c:pt idx="18">
                  <c:v>June</c:v>
                </c:pt>
                <c:pt idx="19">
                  <c:v>July</c:v>
                </c:pt>
                <c:pt idx="20">
                  <c:v>August</c:v>
                </c:pt>
                <c:pt idx="21">
                  <c:v>September</c:v>
                </c:pt>
                <c:pt idx="22">
                  <c:v>October</c:v>
                </c:pt>
                <c:pt idx="23">
                  <c:v>November</c:v>
                </c:pt>
                <c:pt idx="24">
                  <c:v>December</c:v>
                </c:pt>
                <c:pt idx="25">
                  <c:v>January</c:v>
                </c:pt>
                <c:pt idx="26">
                  <c:v>February</c:v>
                </c:pt>
                <c:pt idx="27">
                  <c:v>March</c:v>
                </c:pt>
                <c:pt idx="28">
                  <c:v>April</c:v>
                </c:pt>
                <c:pt idx="29">
                  <c:v>May</c:v>
                </c:pt>
                <c:pt idx="30">
                  <c:v>June</c:v>
                </c:pt>
                <c:pt idx="31">
                  <c:v>July</c:v>
                </c:pt>
                <c:pt idx="32">
                  <c:v>August</c:v>
                </c:pt>
                <c:pt idx="33">
                  <c:v>September</c:v>
                </c:pt>
                <c:pt idx="34">
                  <c:v>October</c:v>
                </c:pt>
                <c:pt idx="35">
                  <c:v>November</c:v>
                </c:pt>
                <c:pt idx="36">
                  <c:v>December</c:v>
                </c:pt>
                <c:pt idx="37">
                  <c:v>January</c:v>
                </c:pt>
                <c:pt idx="38">
                  <c:v>February</c:v>
                </c:pt>
                <c:pt idx="39">
                  <c:v>March</c:v>
                </c:pt>
                <c:pt idx="40">
                  <c:v>April</c:v>
                </c:pt>
                <c:pt idx="41">
                  <c:v>May</c:v>
                </c:pt>
                <c:pt idx="42">
                  <c:v>June</c:v>
                </c:pt>
                <c:pt idx="43">
                  <c:v>July</c:v>
                </c:pt>
                <c:pt idx="44">
                  <c:v>August</c:v>
                </c:pt>
                <c:pt idx="45">
                  <c:v>September</c:v>
                </c:pt>
                <c:pt idx="46">
                  <c:v>October</c:v>
                </c:pt>
                <c:pt idx="47">
                  <c:v>November</c:v>
                </c:pt>
                <c:pt idx="48">
                  <c:v>December</c:v>
                </c:pt>
                <c:pt idx="49">
                  <c:v>January</c:v>
                </c:pt>
                <c:pt idx="50">
                  <c:v>February</c:v>
                </c:pt>
                <c:pt idx="51">
                  <c:v>March</c:v>
                </c:pt>
                <c:pt idx="52">
                  <c:v>April</c:v>
                </c:pt>
                <c:pt idx="53">
                  <c:v>May</c:v>
                </c:pt>
                <c:pt idx="54">
                  <c:v>June</c:v>
                </c:pt>
              </c:strCache>
            </c:strRef>
          </c:cat>
          <c:val>
            <c:numRef>
              <c:f>'NPV w Mo''ly data chart'!$C$6:$BE$6</c:f>
              <c:numCache>
                <c:formatCode>_(* #,##0_);_(* \(#,##0\);_(* "-"??_);_(@_)</c:formatCode>
                <c:ptCount val="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10735.181818181818</c:v>
                </c:pt>
                <c:pt idx="19">
                  <c:v>12157.451612903225</c:v>
                </c:pt>
                <c:pt idx="20">
                  <c:v>12217.709677419354</c:v>
                </c:pt>
                <c:pt idx="21">
                  <c:v>12712.4</c:v>
                </c:pt>
                <c:pt idx="22">
                  <c:v>12919.225806451614</c:v>
                </c:pt>
                <c:pt idx="23">
                  <c:v>12136.620689655172</c:v>
                </c:pt>
                <c:pt idx="24">
                  <c:v>13452.58064516129</c:v>
                </c:pt>
                <c:pt idx="25">
                  <c:v>13748.516129032258</c:v>
                </c:pt>
                <c:pt idx="26">
                  <c:v>13450.607142857143</c:v>
                </c:pt>
                <c:pt idx="27">
                  <c:v>13546.645161290322</c:v>
                </c:pt>
                <c:pt idx="28">
                  <c:v>13789.933333333332</c:v>
                </c:pt>
                <c:pt idx="29">
                  <c:v>14013.193548387097</c:v>
                </c:pt>
                <c:pt idx="30">
                  <c:v>13047.066666666668</c:v>
                </c:pt>
                <c:pt idx="31">
                  <c:v>12882.793103448275</c:v>
                </c:pt>
                <c:pt idx="32">
                  <c:v>13779.387096774193</c:v>
                </c:pt>
                <c:pt idx="33">
                  <c:v>14085.6</c:v>
                </c:pt>
                <c:pt idx="34">
                  <c:v>12918.964285714286</c:v>
                </c:pt>
                <c:pt idx="35">
                  <c:v>12466.4</c:v>
                </c:pt>
                <c:pt idx="36">
                  <c:v>12300</c:v>
                </c:pt>
                <c:pt idx="37">
                  <c:v>10760.516129032258</c:v>
                </c:pt>
                <c:pt idx="38">
                  <c:v>11741.5</c:v>
                </c:pt>
                <c:pt idx="39">
                  <c:v>12196.193548387097</c:v>
                </c:pt>
                <c:pt idx="40">
                  <c:v>11852.933333333332</c:v>
                </c:pt>
                <c:pt idx="41">
                  <c:v>14074.741935483871</c:v>
                </c:pt>
                <c:pt idx="42">
                  <c:v>14738</c:v>
                </c:pt>
                <c:pt idx="43">
                  <c:v>13706.483870967742</c:v>
                </c:pt>
                <c:pt idx="44">
                  <c:v>14082.354838709678</c:v>
                </c:pt>
                <c:pt idx="45">
                  <c:v>13682.1</c:v>
                </c:pt>
                <c:pt idx="46">
                  <c:v>13263.354838709678</c:v>
                </c:pt>
                <c:pt idx="47">
                  <c:v>13000.241379310344</c:v>
                </c:pt>
                <c:pt idx="48">
                  <c:v>12791.838709677419</c:v>
                </c:pt>
                <c:pt idx="49">
                  <c:v>13090.935483870968</c:v>
                </c:pt>
                <c:pt idx="50">
                  <c:v>12612.464285714286</c:v>
                </c:pt>
                <c:pt idx="51">
                  <c:v>12384.225806451614</c:v>
                </c:pt>
                <c:pt idx="52">
                  <c:v>12150.266666666666</c:v>
                </c:pt>
                <c:pt idx="53">
                  <c:v>12073.363636363636</c:v>
                </c:pt>
                <c:pt idx="54">
                  <c:v>11911.433333333332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8B7-4FD8-A165-9B2E23958F33}"/>
            </c:ext>
          </c:extLst>
        </c:ser>
        <c:ser>
          <c:idx val="3"/>
          <c:order val="3"/>
          <c:tx>
            <c:strRef>
              <c:f>'NPV w Mo''ly data chart'!$B$7</c:f>
              <c:strCache>
                <c:ptCount val="1"/>
                <c:pt idx="0">
                  <c:v>WR678 PS001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'NPV w Mo''ly data chart'!$C$2:$BE$3</c15:sqref>
                  </c15:fullRef>
                  <c15:levelRef>
                    <c15:sqref>'NPV w Mo''ly data chart'!$C$2:$BE$2</c15:sqref>
                  </c15:levelRef>
                </c:ext>
              </c:extLst>
              <c:f>'NPV w Mo''ly data chart'!$C$2:$BE$2</c:f>
              <c:strCache>
                <c:ptCount val="55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  <c:pt idx="13">
                  <c:v>January</c:v>
                </c:pt>
                <c:pt idx="14">
                  <c:v>February</c:v>
                </c:pt>
                <c:pt idx="15">
                  <c:v>March</c:v>
                </c:pt>
                <c:pt idx="16">
                  <c:v>April</c:v>
                </c:pt>
                <c:pt idx="17">
                  <c:v>May</c:v>
                </c:pt>
                <c:pt idx="18">
                  <c:v>June</c:v>
                </c:pt>
                <c:pt idx="19">
                  <c:v>July</c:v>
                </c:pt>
                <c:pt idx="20">
                  <c:v>August</c:v>
                </c:pt>
                <c:pt idx="21">
                  <c:v>September</c:v>
                </c:pt>
                <c:pt idx="22">
                  <c:v>October</c:v>
                </c:pt>
                <c:pt idx="23">
                  <c:v>November</c:v>
                </c:pt>
                <c:pt idx="24">
                  <c:v>December</c:v>
                </c:pt>
                <c:pt idx="25">
                  <c:v>January</c:v>
                </c:pt>
                <c:pt idx="26">
                  <c:v>February</c:v>
                </c:pt>
                <c:pt idx="27">
                  <c:v>March</c:v>
                </c:pt>
                <c:pt idx="28">
                  <c:v>April</c:v>
                </c:pt>
                <c:pt idx="29">
                  <c:v>May</c:v>
                </c:pt>
                <c:pt idx="30">
                  <c:v>June</c:v>
                </c:pt>
                <c:pt idx="31">
                  <c:v>July</c:v>
                </c:pt>
                <c:pt idx="32">
                  <c:v>August</c:v>
                </c:pt>
                <c:pt idx="33">
                  <c:v>September</c:v>
                </c:pt>
                <c:pt idx="34">
                  <c:v>October</c:v>
                </c:pt>
                <c:pt idx="35">
                  <c:v>November</c:v>
                </c:pt>
                <c:pt idx="36">
                  <c:v>December</c:v>
                </c:pt>
                <c:pt idx="37">
                  <c:v>January</c:v>
                </c:pt>
                <c:pt idx="38">
                  <c:v>February</c:v>
                </c:pt>
                <c:pt idx="39">
                  <c:v>March</c:v>
                </c:pt>
                <c:pt idx="40">
                  <c:v>April</c:v>
                </c:pt>
                <c:pt idx="41">
                  <c:v>May</c:v>
                </c:pt>
                <c:pt idx="42">
                  <c:v>June</c:v>
                </c:pt>
                <c:pt idx="43">
                  <c:v>July</c:v>
                </c:pt>
                <c:pt idx="44">
                  <c:v>August</c:v>
                </c:pt>
                <c:pt idx="45">
                  <c:v>September</c:v>
                </c:pt>
                <c:pt idx="46">
                  <c:v>October</c:v>
                </c:pt>
                <c:pt idx="47">
                  <c:v>November</c:v>
                </c:pt>
                <c:pt idx="48">
                  <c:v>December</c:v>
                </c:pt>
                <c:pt idx="49">
                  <c:v>January</c:v>
                </c:pt>
                <c:pt idx="50">
                  <c:v>February</c:v>
                </c:pt>
                <c:pt idx="51">
                  <c:v>March</c:v>
                </c:pt>
                <c:pt idx="52">
                  <c:v>April</c:v>
                </c:pt>
                <c:pt idx="53">
                  <c:v>May</c:v>
                </c:pt>
                <c:pt idx="54">
                  <c:v>June</c:v>
                </c:pt>
              </c:strCache>
            </c:strRef>
          </c:cat>
          <c:val>
            <c:numRef>
              <c:f>'NPV w Mo''ly data chart'!$C$7:$BE$7</c:f>
              <c:numCache>
                <c:formatCode>_(* #,##0_);_(* \(#,##0\);_(* "-"??_);_(@_)</c:formatCode>
                <c:ptCount val="55"/>
                <c:pt idx="0">
                  <c:v>0</c:v>
                </c:pt>
                <c:pt idx="1">
                  <c:v>0</c:v>
                </c:pt>
                <c:pt idx="2">
                  <c:v>7469.3076923076924</c:v>
                </c:pt>
                <c:pt idx="3">
                  <c:v>12378.08695652174</c:v>
                </c:pt>
                <c:pt idx="4">
                  <c:v>14088.1</c:v>
                </c:pt>
                <c:pt idx="5">
                  <c:v>14288</c:v>
                </c:pt>
                <c:pt idx="6">
                  <c:v>14811.2</c:v>
                </c:pt>
                <c:pt idx="7">
                  <c:v>13649.565217391304</c:v>
                </c:pt>
                <c:pt idx="8">
                  <c:v>14241.354838709678</c:v>
                </c:pt>
                <c:pt idx="9">
                  <c:v>12185.666666666666</c:v>
                </c:pt>
                <c:pt idx="10">
                  <c:v>13999.806451612903</c:v>
                </c:pt>
                <c:pt idx="11">
                  <c:v>13123.962962962964</c:v>
                </c:pt>
                <c:pt idx="12">
                  <c:v>15223.967741935483</c:v>
                </c:pt>
                <c:pt idx="13">
                  <c:v>15165.645161290322</c:v>
                </c:pt>
                <c:pt idx="14">
                  <c:v>15046.413793103447</c:v>
                </c:pt>
                <c:pt idx="15">
                  <c:v>15561.58064516129</c:v>
                </c:pt>
                <c:pt idx="16">
                  <c:v>14940.933333333332</c:v>
                </c:pt>
                <c:pt idx="17">
                  <c:v>15449.225806451614</c:v>
                </c:pt>
                <c:pt idx="18">
                  <c:v>15112.166666666666</c:v>
                </c:pt>
                <c:pt idx="19">
                  <c:v>14166.645161290322</c:v>
                </c:pt>
                <c:pt idx="20">
                  <c:v>12013.032258064517</c:v>
                </c:pt>
                <c:pt idx="21">
                  <c:v>12185.666666666666</c:v>
                </c:pt>
                <c:pt idx="22">
                  <c:v>12797.161290322581</c:v>
                </c:pt>
                <c:pt idx="23">
                  <c:v>11064.964285714286</c:v>
                </c:pt>
                <c:pt idx="24">
                  <c:v>13035.193548387097</c:v>
                </c:pt>
                <c:pt idx="25">
                  <c:v>12583.451612903225</c:v>
                </c:pt>
                <c:pt idx="26">
                  <c:v>12645.25</c:v>
                </c:pt>
                <c:pt idx="27">
                  <c:v>12377.451612903225</c:v>
                </c:pt>
                <c:pt idx="28">
                  <c:v>12714.666666666666</c:v>
                </c:pt>
                <c:pt idx="29">
                  <c:v>11766.548387096775</c:v>
                </c:pt>
                <c:pt idx="30">
                  <c:v>12007.3</c:v>
                </c:pt>
                <c:pt idx="31">
                  <c:v>11868.741935483871</c:v>
                </c:pt>
                <c:pt idx="32">
                  <c:v>10769.838709677419</c:v>
                </c:pt>
                <c:pt idx="33">
                  <c:v>11402.2</c:v>
                </c:pt>
                <c:pt idx="34">
                  <c:v>10808.464285714286</c:v>
                </c:pt>
                <c:pt idx="35">
                  <c:v>11285.766666666666</c:v>
                </c:pt>
                <c:pt idx="36">
                  <c:v>11324.193548387097</c:v>
                </c:pt>
                <c:pt idx="37">
                  <c:v>9934.354838709678</c:v>
                </c:pt>
                <c:pt idx="38">
                  <c:v>10662.5</c:v>
                </c:pt>
                <c:pt idx="39">
                  <c:v>10583.677419354839</c:v>
                </c:pt>
                <c:pt idx="40">
                  <c:v>9562.9666666666672</c:v>
                </c:pt>
                <c:pt idx="41">
                  <c:v>10663.354838709678</c:v>
                </c:pt>
                <c:pt idx="42">
                  <c:v>10759.1</c:v>
                </c:pt>
                <c:pt idx="43">
                  <c:v>11406.41935483871</c:v>
                </c:pt>
                <c:pt idx="44">
                  <c:v>11492.096774193549</c:v>
                </c:pt>
                <c:pt idx="45">
                  <c:v>11112.433333333332</c:v>
                </c:pt>
                <c:pt idx="46">
                  <c:v>9555.1612903225814</c:v>
                </c:pt>
                <c:pt idx="47">
                  <c:v>11804.344827586207</c:v>
                </c:pt>
                <c:pt idx="48">
                  <c:v>11292.451612903225</c:v>
                </c:pt>
                <c:pt idx="49">
                  <c:v>11371.064516129032</c:v>
                </c:pt>
                <c:pt idx="50">
                  <c:v>10906.607142857143</c:v>
                </c:pt>
                <c:pt idx="51">
                  <c:v>10545.064516129032</c:v>
                </c:pt>
                <c:pt idx="52">
                  <c:v>10741.6</c:v>
                </c:pt>
                <c:pt idx="53">
                  <c:v>10606.681818181818</c:v>
                </c:pt>
                <c:pt idx="54">
                  <c:v>10697.566666666668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8B7-4FD8-A165-9B2E23958F33}"/>
            </c:ext>
          </c:extLst>
        </c:ser>
        <c:ser>
          <c:idx val="4"/>
          <c:order val="4"/>
          <c:tx>
            <c:strRef>
              <c:f>'NPV w Mo''ly data chart'!$B$8</c:f>
              <c:strCache>
                <c:ptCount val="1"/>
                <c:pt idx="0">
                  <c:v> WR678 PS002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'NPV w Mo''ly data chart'!$C$2:$BE$3</c15:sqref>
                  </c15:fullRef>
                  <c15:levelRef>
                    <c15:sqref>'NPV w Mo''ly data chart'!$C$2:$BE$2</c15:sqref>
                  </c15:levelRef>
                </c:ext>
              </c:extLst>
              <c:f>'NPV w Mo''ly data chart'!$C$2:$BE$2</c:f>
              <c:strCache>
                <c:ptCount val="55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  <c:pt idx="13">
                  <c:v>January</c:v>
                </c:pt>
                <c:pt idx="14">
                  <c:v>February</c:v>
                </c:pt>
                <c:pt idx="15">
                  <c:v>March</c:v>
                </c:pt>
                <c:pt idx="16">
                  <c:v>April</c:v>
                </c:pt>
                <c:pt idx="17">
                  <c:v>May</c:v>
                </c:pt>
                <c:pt idx="18">
                  <c:v>June</c:v>
                </c:pt>
                <c:pt idx="19">
                  <c:v>July</c:v>
                </c:pt>
                <c:pt idx="20">
                  <c:v>August</c:v>
                </c:pt>
                <c:pt idx="21">
                  <c:v>September</c:v>
                </c:pt>
                <c:pt idx="22">
                  <c:v>October</c:v>
                </c:pt>
                <c:pt idx="23">
                  <c:v>November</c:v>
                </c:pt>
                <c:pt idx="24">
                  <c:v>December</c:v>
                </c:pt>
                <c:pt idx="25">
                  <c:v>January</c:v>
                </c:pt>
                <c:pt idx="26">
                  <c:v>February</c:v>
                </c:pt>
                <c:pt idx="27">
                  <c:v>March</c:v>
                </c:pt>
                <c:pt idx="28">
                  <c:v>April</c:v>
                </c:pt>
                <c:pt idx="29">
                  <c:v>May</c:v>
                </c:pt>
                <c:pt idx="30">
                  <c:v>June</c:v>
                </c:pt>
                <c:pt idx="31">
                  <c:v>July</c:v>
                </c:pt>
                <c:pt idx="32">
                  <c:v>August</c:v>
                </c:pt>
                <c:pt idx="33">
                  <c:v>September</c:v>
                </c:pt>
                <c:pt idx="34">
                  <c:v>October</c:v>
                </c:pt>
                <c:pt idx="35">
                  <c:v>November</c:v>
                </c:pt>
                <c:pt idx="36">
                  <c:v>December</c:v>
                </c:pt>
                <c:pt idx="37">
                  <c:v>January</c:v>
                </c:pt>
                <c:pt idx="38">
                  <c:v>February</c:v>
                </c:pt>
                <c:pt idx="39">
                  <c:v>March</c:v>
                </c:pt>
                <c:pt idx="40">
                  <c:v>April</c:v>
                </c:pt>
                <c:pt idx="41">
                  <c:v>May</c:v>
                </c:pt>
                <c:pt idx="42">
                  <c:v>June</c:v>
                </c:pt>
                <c:pt idx="43">
                  <c:v>July</c:v>
                </c:pt>
                <c:pt idx="44">
                  <c:v>August</c:v>
                </c:pt>
                <c:pt idx="45">
                  <c:v>September</c:v>
                </c:pt>
                <c:pt idx="46">
                  <c:v>October</c:v>
                </c:pt>
                <c:pt idx="47">
                  <c:v>November</c:v>
                </c:pt>
                <c:pt idx="48">
                  <c:v>December</c:v>
                </c:pt>
                <c:pt idx="49">
                  <c:v>January</c:v>
                </c:pt>
                <c:pt idx="50">
                  <c:v>February</c:v>
                </c:pt>
                <c:pt idx="51">
                  <c:v>March</c:v>
                </c:pt>
                <c:pt idx="52">
                  <c:v>April</c:v>
                </c:pt>
                <c:pt idx="53">
                  <c:v>May</c:v>
                </c:pt>
                <c:pt idx="54">
                  <c:v>June</c:v>
                </c:pt>
              </c:strCache>
            </c:strRef>
          </c:cat>
          <c:val>
            <c:numRef>
              <c:f>'NPV w Mo''ly data chart'!$C$8:$BE$8</c:f>
              <c:numCache>
                <c:formatCode>_(* #,##0_);_(* \(#,##0\);_(* "-"??_);_(@_)</c:formatCode>
                <c:ptCount val="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10479.736842105263</c:v>
                </c:pt>
                <c:pt idx="30">
                  <c:v>12531.266666666666</c:v>
                </c:pt>
                <c:pt idx="31">
                  <c:v>12908.774193548386</c:v>
                </c:pt>
                <c:pt idx="32">
                  <c:v>14318.58064516129</c:v>
                </c:pt>
                <c:pt idx="33">
                  <c:v>16364.433333333332</c:v>
                </c:pt>
                <c:pt idx="34">
                  <c:v>15496.428571428571</c:v>
                </c:pt>
                <c:pt idx="35">
                  <c:v>17156.666666666668</c:v>
                </c:pt>
                <c:pt idx="36">
                  <c:v>17079.096774193549</c:v>
                </c:pt>
                <c:pt idx="37">
                  <c:v>16928.258064516129</c:v>
                </c:pt>
                <c:pt idx="38">
                  <c:v>17009.25</c:v>
                </c:pt>
                <c:pt idx="39">
                  <c:v>17826.741935483871</c:v>
                </c:pt>
                <c:pt idx="40">
                  <c:v>16499.733333333334</c:v>
                </c:pt>
                <c:pt idx="41">
                  <c:v>18527.645161290322</c:v>
                </c:pt>
                <c:pt idx="42">
                  <c:v>17170.166666666668</c:v>
                </c:pt>
                <c:pt idx="43">
                  <c:v>18635.032258064515</c:v>
                </c:pt>
                <c:pt idx="44">
                  <c:v>19009.322580645163</c:v>
                </c:pt>
                <c:pt idx="45">
                  <c:v>18433.766666666666</c:v>
                </c:pt>
                <c:pt idx="46">
                  <c:v>18250.548387096773</c:v>
                </c:pt>
                <c:pt idx="47">
                  <c:v>17447.724137931036</c:v>
                </c:pt>
                <c:pt idx="48">
                  <c:v>17809.677419354837</c:v>
                </c:pt>
                <c:pt idx="49">
                  <c:v>17628.290322580644</c:v>
                </c:pt>
                <c:pt idx="50">
                  <c:v>17297.785714285714</c:v>
                </c:pt>
                <c:pt idx="51">
                  <c:v>16918.741935483871</c:v>
                </c:pt>
                <c:pt idx="52">
                  <c:v>16847.7</c:v>
                </c:pt>
                <c:pt idx="53">
                  <c:v>15988.272727272728</c:v>
                </c:pt>
                <c:pt idx="54">
                  <c:v>15964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8B7-4FD8-A165-9B2E23958F33}"/>
            </c:ext>
          </c:extLst>
        </c:ser>
        <c:ser>
          <c:idx val="5"/>
          <c:order val="5"/>
          <c:tx>
            <c:strRef>
              <c:f>'NPV w Mo''ly data chart'!$B$9</c:f>
              <c:strCache>
                <c:ptCount val="1"/>
                <c:pt idx="0">
                  <c:v>WR678 PS003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'NPV w Mo''ly data chart'!$C$2:$BE$3</c15:sqref>
                  </c15:fullRef>
                  <c15:levelRef>
                    <c15:sqref>'NPV w Mo''ly data chart'!$C$2:$BE$2</c15:sqref>
                  </c15:levelRef>
                </c:ext>
              </c:extLst>
              <c:f>'NPV w Mo''ly data chart'!$C$2:$BE$2</c:f>
              <c:strCache>
                <c:ptCount val="55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  <c:pt idx="13">
                  <c:v>January</c:v>
                </c:pt>
                <c:pt idx="14">
                  <c:v>February</c:v>
                </c:pt>
                <c:pt idx="15">
                  <c:v>March</c:v>
                </c:pt>
                <c:pt idx="16">
                  <c:v>April</c:v>
                </c:pt>
                <c:pt idx="17">
                  <c:v>May</c:v>
                </c:pt>
                <c:pt idx="18">
                  <c:v>June</c:v>
                </c:pt>
                <c:pt idx="19">
                  <c:v>July</c:v>
                </c:pt>
                <c:pt idx="20">
                  <c:v>August</c:v>
                </c:pt>
                <c:pt idx="21">
                  <c:v>September</c:v>
                </c:pt>
                <c:pt idx="22">
                  <c:v>October</c:v>
                </c:pt>
                <c:pt idx="23">
                  <c:v>November</c:v>
                </c:pt>
                <c:pt idx="24">
                  <c:v>December</c:v>
                </c:pt>
                <c:pt idx="25">
                  <c:v>January</c:v>
                </c:pt>
                <c:pt idx="26">
                  <c:v>February</c:v>
                </c:pt>
                <c:pt idx="27">
                  <c:v>March</c:v>
                </c:pt>
                <c:pt idx="28">
                  <c:v>April</c:v>
                </c:pt>
                <c:pt idx="29">
                  <c:v>May</c:v>
                </c:pt>
                <c:pt idx="30">
                  <c:v>June</c:v>
                </c:pt>
                <c:pt idx="31">
                  <c:v>July</c:v>
                </c:pt>
                <c:pt idx="32">
                  <c:v>August</c:v>
                </c:pt>
                <c:pt idx="33">
                  <c:v>September</c:v>
                </c:pt>
                <c:pt idx="34">
                  <c:v>October</c:v>
                </c:pt>
                <c:pt idx="35">
                  <c:v>November</c:v>
                </c:pt>
                <c:pt idx="36">
                  <c:v>December</c:v>
                </c:pt>
                <c:pt idx="37">
                  <c:v>January</c:v>
                </c:pt>
                <c:pt idx="38">
                  <c:v>February</c:v>
                </c:pt>
                <c:pt idx="39">
                  <c:v>March</c:v>
                </c:pt>
                <c:pt idx="40">
                  <c:v>April</c:v>
                </c:pt>
                <c:pt idx="41">
                  <c:v>May</c:v>
                </c:pt>
                <c:pt idx="42">
                  <c:v>June</c:v>
                </c:pt>
                <c:pt idx="43">
                  <c:v>July</c:v>
                </c:pt>
                <c:pt idx="44">
                  <c:v>August</c:v>
                </c:pt>
                <c:pt idx="45">
                  <c:v>September</c:v>
                </c:pt>
                <c:pt idx="46">
                  <c:v>October</c:v>
                </c:pt>
                <c:pt idx="47">
                  <c:v>November</c:v>
                </c:pt>
                <c:pt idx="48">
                  <c:v>December</c:v>
                </c:pt>
                <c:pt idx="49">
                  <c:v>January</c:v>
                </c:pt>
                <c:pt idx="50">
                  <c:v>February</c:v>
                </c:pt>
                <c:pt idx="51">
                  <c:v>March</c:v>
                </c:pt>
                <c:pt idx="52">
                  <c:v>April</c:v>
                </c:pt>
                <c:pt idx="53">
                  <c:v>May</c:v>
                </c:pt>
                <c:pt idx="54">
                  <c:v>June</c:v>
                </c:pt>
              </c:strCache>
            </c:strRef>
          </c:cat>
          <c:val>
            <c:numRef>
              <c:f>'NPV w Mo''ly data chart'!$C$9:$BE$9</c:f>
              <c:numCache>
                <c:formatCode>_(* #,##0_);_(* \(#,##0\);_(* "-"??_);_(@_)</c:formatCode>
                <c:ptCount val="55"/>
                <c:pt idx="0">
                  <c:v>9226.8571428571431</c:v>
                </c:pt>
                <c:pt idx="1">
                  <c:v>12173.925925925925</c:v>
                </c:pt>
                <c:pt idx="2">
                  <c:v>12820.75</c:v>
                </c:pt>
                <c:pt idx="3">
                  <c:v>14112.806451612903</c:v>
                </c:pt>
                <c:pt idx="4">
                  <c:v>14341.166666666666</c:v>
                </c:pt>
                <c:pt idx="5">
                  <c:v>13935.258064516129</c:v>
                </c:pt>
                <c:pt idx="6">
                  <c:v>14505.566666666668</c:v>
                </c:pt>
                <c:pt idx="7">
                  <c:v>13634.347826086956</c:v>
                </c:pt>
                <c:pt idx="8">
                  <c:v>14141.483870967742</c:v>
                </c:pt>
                <c:pt idx="9">
                  <c:v>13667</c:v>
                </c:pt>
                <c:pt idx="10">
                  <c:v>13380.161290322581</c:v>
                </c:pt>
                <c:pt idx="11">
                  <c:v>12637.925925925925</c:v>
                </c:pt>
                <c:pt idx="12">
                  <c:v>13894.806451612903</c:v>
                </c:pt>
                <c:pt idx="13">
                  <c:v>13609.354838709678</c:v>
                </c:pt>
                <c:pt idx="14">
                  <c:v>13639.310344827587</c:v>
                </c:pt>
                <c:pt idx="15">
                  <c:v>13326.903225806451</c:v>
                </c:pt>
                <c:pt idx="16">
                  <c:v>12380.033333333333</c:v>
                </c:pt>
                <c:pt idx="17">
                  <c:v>12852.677419354839</c:v>
                </c:pt>
                <c:pt idx="18">
                  <c:v>12662.833333333334</c:v>
                </c:pt>
                <c:pt idx="19">
                  <c:v>11765.41935483871</c:v>
                </c:pt>
                <c:pt idx="20">
                  <c:v>10582.571428571429</c:v>
                </c:pt>
                <c:pt idx="21">
                  <c:v>11196.066666666668</c:v>
                </c:pt>
                <c:pt idx="22">
                  <c:v>11168.483870967742</c:v>
                </c:pt>
                <c:pt idx="23">
                  <c:v>10101.827586206897</c:v>
                </c:pt>
                <c:pt idx="24">
                  <c:v>11210.483870967742</c:v>
                </c:pt>
                <c:pt idx="25">
                  <c:v>10290.806451612903</c:v>
                </c:pt>
                <c:pt idx="26">
                  <c:v>9922.5357142857138</c:v>
                </c:pt>
                <c:pt idx="27">
                  <c:v>9821.6129032258068</c:v>
                </c:pt>
                <c:pt idx="28">
                  <c:v>9744.6333333333332</c:v>
                </c:pt>
                <c:pt idx="29">
                  <c:v>8985</c:v>
                </c:pt>
                <c:pt idx="30">
                  <c:v>9102.8333333333339</c:v>
                </c:pt>
                <c:pt idx="31">
                  <c:v>8705.4838709677424</c:v>
                </c:pt>
                <c:pt idx="32">
                  <c:v>7883.7096774193551</c:v>
                </c:pt>
                <c:pt idx="33">
                  <c:v>8420.0333333333328</c:v>
                </c:pt>
                <c:pt idx="34">
                  <c:v>7851.5714285714284</c:v>
                </c:pt>
                <c:pt idx="35">
                  <c:v>8224.8333333333339</c:v>
                </c:pt>
                <c:pt idx="36">
                  <c:v>8269.9032258064508</c:v>
                </c:pt>
                <c:pt idx="37">
                  <c:v>7382.7741935483873</c:v>
                </c:pt>
                <c:pt idx="38">
                  <c:v>7760.6428571428569</c:v>
                </c:pt>
                <c:pt idx="39">
                  <c:v>7825.4838709677415</c:v>
                </c:pt>
                <c:pt idx="40">
                  <c:v>6908.9333333333334</c:v>
                </c:pt>
                <c:pt idx="41">
                  <c:v>8256.0645161290322</c:v>
                </c:pt>
                <c:pt idx="42">
                  <c:v>7697.4444444444443</c:v>
                </c:pt>
                <c:pt idx="43">
                  <c:v>8570.1612903225814</c:v>
                </c:pt>
                <c:pt idx="44">
                  <c:v>8785.6129032258068</c:v>
                </c:pt>
                <c:pt idx="45">
                  <c:v>8520.9333333333325</c:v>
                </c:pt>
                <c:pt idx="46">
                  <c:v>8327.677419354839</c:v>
                </c:pt>
                <c:pt idx="47">
                  <c:v>7950.2068965517237</c:v>
                </c:pt>
                <c:pt idx="48">
                  <c:v>8080.3548387096771</c:v>
                </c:pt>
                <c:pt idx="49">
                  <c:v>8117.8387096774195</c:v>
                </c:pt>
                <c:pt idx="50">
                  <c:v>6916.3571428571431</c:v>
                </c:pt>
                <c:pt idx="51">
                  <c:v>7207.5806451612907</c:v>
                </c:pt>
                <c:pt idx="52">
                  <c:v>7318.0666666666666</c:v>
                </c:pt>
                <c:pt idx="53">
                  <c:v>7153.272727272727</c:v>
                </c:pt>
                <c:pt idx="54">
                  <c:v>7073.4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8B7-4FD8-A165-9B2E23958F33}"/>
            </c:ext>
          </c:extLst>
        </c:ser>
        <c:ser>
          <c:idx val="6"/>
          <c:order val="6"/>
          <c:tx>
            <c:strRef>
              <c:f>'NPV w Mo''ly data chart'!$B$10</c:f>
              <c:strCache>
                <c:ptCount val="1"/>
                <c:pt idx="0">
                  <c:v>WR678 PS004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'NPV w Mo''ly data chart'!$C$2:$BE$3</c15:sqref>
                  </c15:fullRef>
                  <c15:levelRef>
                    <c15:sqref>'NPV w Mo''ly data chart'!$C$2:$BE$2</c15:sqref>
                  </c15:levelRef>
                </c:ext>
              </c:extLst>
              <c:f>'NPV w Mo''ly data chart'!$C$2:$BE$2</c:f>
              <c:strCache>
                <c:ptCount val="55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  <c:pt idx="13">
                  <c:v>January</c:v>
                </c:pt>
                <c:pt idx="14">
                  <c:v>February</c:v>
                </c:pt>
                <c:pt idx="15">
                  <c:v>March</c:v>
                </c:pt>
                <c:pt idx="16">
                  <c:v>April</c:v>
                </c:pt>
                <c:pt idx="17">
                  <c:v>May</c:v>
                </c:pt>
                <c:pt idx="18">
                  <c:v>June</c:v>
                </c:pt>
                <c:pt idx="19">
                  <c:v>July</c:v>
                </c:pt>
                <c:pt idx="20">
                  <c:v>August</c:v>
                </c:pt>
                <c:pt idx="21">
                  <c:v>September</c:v>
                </c:pt>
                <c:pt idx="22">
                  <c:v>October</c:v>
                </c:pt>
                <c:pt idx="23">
                  <c:v>November</c:v>
                </c:pt>
                <c:pt idx="24">
                  <c:v>December</c:v>
                </c:pt>
                <c:pt idx="25">
                  <c:v>January</c:v>
                </c:pt>
                <c:pt idx="26">
                  <c:v>February</c:v>
                </c:pt>
                <c:pt idx="27">
                  <c:v>March</c:v>
                </c:pt>
                <c:pt idx="28">
                  <c:v>April</c:v>
                </c:pt>
                <c:pt idx="29">
                  <c:v>May</c:v>
                </c:pt>
                <c:pt idx="30">
                  <c:v>June</c:v>
                </c:pt>
                <c:pt idx="31">
                  <c:v>July</c:v>
                </c:pt>
                <c:pt idx="32">
                  <c:v>August</c:v>
                </c:pt>
                <c:pt idx="33">
                  <c:v>September</c:v>
                </c:pt>
                <c:pt idx="34">
                  <c:v>October</c:v>
                </c:pt>
                <c:pt idx="35">
                  <c:v>November</c:v>
                </c:pt>
                <c:pt idx="36">
                  <c:v>December</c:v>
                </c:pt>
                <c:pt idx="37">
                  <c:v>January</c:v>
                </c:pt>
                <c:pt idx="38">
                  <c:v>February</c:v>
                </c:pt>
                <c:pt idx="39">
                  <c:v>March</c:v>
                </c:pt>
                <c:pt idx="40">
                  <c:v>April</c:v>
                </c:pt>
                <c:pt idx="41">
                  <c:v>May</c:v>
                </c:pt>
                <c:pt idx="42">
                  <c:v>June</c:v>
                </c:pt>
                <c:pt idx="43">
                  <c:v>July</c:v>
                </c:pt>
                <c:pt idx="44">
                  <c:v>August</c:v>
                </c:pt>
                <c:pt idx="45">
                  <c:v>September</c:v>
                </c:pt>
                <c:pt idx="46">
                  <c:v>October</c:v>
                </c:pt>
                <c:pt idx="47">
                  <c:v>November</c:v>
                </c:pt>
                <c:pt idx="48">
                  <c:v>December</c:v>
                </c:pt>
                <c:pt idx="49">
                  <c:v>January</c:v>
                </c:pt>
                <c:pt idx="50">
                  <c:v>February</c:v>
                </c:pt>
                <c:pt idx="51">
                  <c:v>March</c:v>
                </c:pt>
                <c:pt idx="52">
                  <c:v>April</c:v>
                </c:pt>
                <c:pt idx="53">
                  <c:v>May</c:v>
                </c:pt>
                <c:pt idx="54">
                  <c:v>June</c:v>
                </c:pt>
              </c:strCache>
            </c:strRef>
          </c:cat>
          <c:val>
            <c:numRef>
              <c:f>'NPV w Mo''ly data chart'!$C$10:$BE$10</c:f>
              <c:numCache>
                <c:formatCode>_(* #,##0_);_(* \(#,##0\);_(* "-"??_);_(@_)</c:formatCode>
                <c:ptCount val="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8921.9333333333325</c:v>
                </c:pt>
                <c:pt idx="17">
                  <c:v>13616.733333333334</c:v>
                </c:pt>
                <c:pt idx="18">
                  <c:v>14216.2</c:v>
                </c:pt>
                <c:pt idx="19">
                  <c:v>14000.903225806451</c:v>
                </c:pt>
                <c:pt idx="20">
                  <c:v>14360.612903225807</c:v>
                </c:pt>
                <c:pt idx="21">
                  <c:v>15119.033333333333</c:v>
                </c:pt>
                <c:pt idx="22">
                  <c:v>15280.032258064517</c:v>
                </c:pt>
                <c:pt idx="23">
                  <c:v>14525.689655172413</c:v>
                </c:pt>
                <c:pt idx="24">
                  <c:v>15903.483870967742</c:v>
                </c:pt>
                <c:pt idx="25">
                  <c:v>15545.612903225807</c:v>
                </c:pt>
                <c:pt idx="26">
                  <c:v>15783.285714285714</c:v>
                </c:pt>
                <c:pt idx="27">
                  <c:v>15310.225806451614</c:v>
                </c:pt>
                <c:pt idx="28">
                  <c:v>15783.1</c:v>
                </c:pt>
                <c:pt idx="29">
                  <c:v>15276.193548387097</c:v>
                </c:pt>
                <c:pt idx="30">
                  <c:v>15614.033333333333</c:v>
                </c:pt>
                <c:pt idx="31">
                  <c:v>15952.032258064517</c:v>
                </c:pt>
                <c:pt idx="32">
                  <c:v>15291.387096774193</c:v>
                </c:pt>
                <c:pt idx="33">
                  <c:v>15567.866666666667</c:v>
                </c:pt>
                <c:pt idx="34">
                  <c:v>14834.785714285714</c:v>
                </c:pt>
                <c:pt idx="35">
                  <c:v>15312.1</c:v>
                </c:pt>
                <c:pt idx="36">
                  <c:v>15441.677419354839</c:v>
                </c:pt>
                <c:pt idx="37">
                  <c:v>14435.258064516129</c:v>
                </c:pt>
                <c:pt idx="38">
                  <c:v>14479.857142857143</c:v>
                </c:pt>
                <c:pt idx="39">
                  <c:v>14513.741935483871</c:v>
                </c:pt>
                <c:pt idx="40">
                  <c:v>13535.8</c:v>
                </c:pt>
                <c:pt idx="41">
                  <c:v>15405.161290322581</c:v>
                </c:pt>
                <c:pt idx="42">
                  <c:v>15972.966666666667</c:v>
                </c:pt>
                <c:pt idx="43">
                  <c:v>15147.387096774193</c:v>
                </c:pt>
                <c:pt idx="44">
                  <c:v>15648.709677419354</c:v>
                </c:pt>
                <c:pt idx="45">
                  <c:v>15338.433333333332</c:v>
                </c:pt>
                <c:pt idx="46">
                  <c:v>14448.129032258064</c:v>
                </c:pt>
                <c:pt idx="47">
                  <c:v>14996.103448275862</c:v>
                </c:pt>
                <c:pt idx="48">
                  <c:v>15505.387096774193</c:v>
                </c:pt>
                <c:pt idx="49">
                  <c:v>15785.483870967742</c:v>
                </c:pt>
                <c:pt idx="50">
                  <c:v>15048.071428571429</c:v>
                </c:pt>
                <c:pt idx="51">
                  <c:v>14716.806451612903</c:v>
                </c:pt>
                <c:pt idx="52">
                  <c:v>14782.333333333334</c:v>
                </c:pt>
                <c:pt idx="53">
                  <c:v>14974.5</c:v>
                </c:pt>
                <c:pt idx="54">
                  <c:v>14986.033333333333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8B7-4FD8-A165-9B2E23958F33}"/>
            </c:ext>
          </c:extLst>
        </c:ser>
        <c:ser>
          <c:idx val="7"/>
          <c:order val="7"/>
          <c:tx>
            <c:strRef>
              <c:f>'NPV w Mo''ly data chart'!$B$11</c:f>
              <c:strCache>
                <c:ptCount val="1"/>
                <c:pt idx="0">
                  <c:v>WR678 PS005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'NPV w Mo''ly data chart'!$C$2:$BE$3</c15:sqref>
                  </c15:fullRef>
                  <c15:levelRef>
                    <c15:sqref>'NPV w Mo''ly data chart'!$C$2:$BE$2</c15:sqref>
                  </c15:levelRef>
                </c:ext>
              </c:extLst>
              <c:f>'NPV w Mo''ly data chart'!$C$2:$BE$2</c:f>
              <c:strCache>
                <c:ptCount val="55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  <c:pt idx="13">
                  <c:v>January</c:v>
                </c:pt>
                <c:pt idx="14">
                  <c:v>February</c:v>
                </c:pt>
                <c:pt idx="15">
                  <c:v>March</c:v>
                </c:pt>
                <c:pt idx="16">
                  <c:v>April</c:v>
                </c:pt>
                <c:pt idx="17">
                  <c:v>May</c:v>
                </c:pt>
                <c:pt idx="18">
                  <c:v>June</c:v>
                </c:pt>
                <c:pt idx="19">
                  <c:v>July</c:v>
                </c:pt>
                <c:pt idx="20">
                  <c:v>August</c:v>
                </c:pt>
                <c:pt idx="21">
                  <c:v>September</c:v>
                </c:pt>
                <c:pt idx="22">
                  <c:v>October</c:v>
                </c:pt>
                <c:pt idx="23">
                  <c:v>November</c:v>
                </c:pt>
                <c:pt idx="24">
                  <c:v>December</c:v>
                </c:pt>
                <c:pt idx="25">
                  <c:v>January</c:v>
                </c:pt>
                <c:pt idx="26">
                  <c:v>February</c:v>
                </c:pt>
                <c:pt idx="27">
                  <c:v>March</c:v>
                </c:pt>
                <c:pt idx="28">
                  <c:v>April</c:v>
                </c:pt>
                <c:pt idx="29">
                  <c:v>May</c:v>
                </c:pt>
                <c:pt idx="30">
                  <c:v>June</c:v>
                </c:pt>
                <c:pt idx="31">
                  <c:v>July</c:v>
                </c:pt>
                <c:pt idx="32">
                  <c:v>August</c:v>
                </c:pt>
                <c:pt idx="33">
                  <c:v>September</c:v>
                </c:pt>
                <c:pt idx="34">
                  <c:v>October</c:v>
                </c:pt>
                <c:pt idx="35">
                  <c:v>November</c:v>
                </c:pt>
                <c:pt idx="36">
                  <c:v>December</c:v>
                </c:pt>
                <c:pt idx="37">
                  <c:v>January</c:v>
                </c:pt>
                <c:pt idx="38">
                  <c:v>February</c:v>
                </c:pt>
                <c:pt idx="39">
                  <c:v>March</c:v>
                </c:pt>
                <c:pt idx="40">
                  <c:v>April</c:v>
                </c:pt>
                <c:pt idx="41">
                  <c:v>May</c:v>
                </c:pt>
                <c:pt idx="42">
                  <c:v>June</c:v>
                </c:pt>
                <c:pt idx="43">
                  <c:v>July</c:v>
                </c:pt>
                <c:pt idx="44">
                  <c:v>August</c:v>
                </c:pt>
                <c:pt idx="45">
                  <c:v>September</c:v>
                </c:pt>
                <c:pt idx="46">
                  <c:v>October</c:v>
                </c:pt>
                <c:pt idx="47">
                  <c:v>November</c:v>
                </c:pt>
                <c:pt idx="48">
                  <c:v>December</c:v>
                </c:pt>
                <c:pt idx="49">
                  <c:v>January</c:v>
                </c:pt>
                <c:pt idx="50">
                  <c:v>February</c:v>
                </c:pt>
                <c:pt idx="51">
                  <c:v>March</c:v>
                </c:pt>
                <c:pt idx="52">
                  <c:v>April</c:v>
                </c:pt>
                <c:pt idx="53">
                  <c:v>May</c:v>
                </c:pt>
                <c:pt idx="54">
                  <c:v>June</c:v>
                </c:pt>
              </c:strCache>
            </c:strRef>
          </c:cat>
          <c:val>
            <c:numRef>
              <c:f>'NPV w Mo''ly data chart'!$C$11:$BE$11</c:f>
              <c:numCache>
                <c:formatCode>_(* #,##0_);_(* \(#,##0\);_(* "-"??_);_(@_)</c:formatCode>
                <c:ptCount val="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6867.2413793103451</c:v>
                </c:pt>
                <c:pt idx="38">
                  <c:v>7920.3928571428569</c:v>
                </c:pt>
                <c:pt idx="39">
                  <c:v>7875.1612903225805</c:v>
                </c:pt>
                <c:pt idx="40">
                  <c:v>7385.833333333333</c:v>
                </c:pt>
                <c:pt idx="41">
                  <c:v>7921.6451612903229</c:v>
                </c:pt>
                <c:pt idx="42">
                  <c:v>9784.8666666666668</c:v>
                </c:pt>
                <c:pt idx="43">
                  <c:v>10636.258064516129</c:v>
                </c:pt>
                <c:pt idx="44">
                  <c:v>10302.645161290322</c:v>
                </c:pt>
                <c:pt idx="45">
                  <c:v>9814</c:v>
                </c:pt>
                <c:pt idx="46">
                  <c:v>9508.3870967741932</c:v>
                </c:pt>
                <c:pt idx="47">
                  <c:v>9139.3448275862065</c:v>
                </c:pt>
                <c:pt idx="48">
                  <c:v>9236.967741935483</c:v>
                </c:pt>
                <c:pt idx="49">
                  <c:v>8744.322580645161</c:v>
                </c:pt>
                <c:pt idx="50">
                  <c:v>8365.5357142857138</c:v>
                </c:pt>
                <c:pt idx="51">
                  <c:v>8059.6129032258068</c:v>
                </c:pt>
                <c:pt idx="52">
                  <c:v>8186.833333333333</c:v>
                </c:pt>
                <c:pt idx="53">
                  <c:v>8172.272727272727</c:v>
                </c:pt>
                <c:pt idx="54">
                  <c:v>8112.7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8B7-4FD8-A165-9B2E23958F33}"/>
            </c:ext>
          </c:extLst>
        </c:ser>
        <c:ser>
          <c:idx val="8"/>
          <c:order val="8"/>
          <c:tx>
            <c:strRef>
              <c:f>'NPV w Mo''ly data chart'!$B$12</c:f>
              <c:strCache>
                <c:ptCount val="1"/>
                <c:pt idx="0">
                  <c:v>WR678 PN007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'NPV w Mo''ly data chart'!$C$2:$BE$3</c15:sqref>
                  </c15:fullRef>
                  <c15:levelRef>
                    <c15:sqref>'NPV w Mo''ly data chart'!$C$2:$BE$2</c15:sqref>
                  </c15:levelRef>
                </c:ext>
              </c:extLst>
              <c:f>'NPV w Mo''ly data chart'!$C$2:$BE$2</c:f>
              <c:strCache>
                <c:ptCount val="55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  <c:pt idx="13">
                  <c:v>January</c:v>
                </c:pt>
                <c:pt idx="14">
                  <c:v>February</c:v>
                </c:pt>
                <c:pt idx="15">
                  <c:v>March</c:v>
                </c:pt>
                <c:pt idx="16">
                  <c:v>April</c:v>
                </c:pt>
                <c:pt idx="17">
                  <c:v>May</c:v>
                </c:pt>
                <c:pt idx="18">
                  <c:v>June</c:v>
                </c:pt>
                <c:pt idx="19">
                  <c:v>July</c:v>
                </c:pt>
                <c:pt idx="20">
                  <c:v>August</c:v>
                </c:pt>
                <c:pt idx="21">
                  <c:v>September</c:v>
                </c:pt>
                <c:pt idx="22">
                  <c:v>October</c:v>
                </c:pt>
                <c:pt idx="23">
                  <c:v>November</c:v>
                </c:pt>
                <c:pt idx="24">
                  <c:v>December</c:v>
                </c:pt>
                <c:pt idx="25">
                  <c:v>January</c:v>
                </c:pt>
                <c:pt idx="26">
                  <c:v>February</c:v>
                </c:pt>
                <c:pt idx="27">
                  <c:v>March</c:v>
                </c:pt>
                <c:pt idx="28">
                  <c:v>April</c:v>
                </c:pt>
                <c:pt idx="29">
                  <c:v>May</c:v>
                </c:pt>
                <c:pt idx="30">
                  <c:v>June</c:v>
                </c:pt>
                <c:pt idx="31">
                  <c:v>July</c:v>
                </c:pt>
                <c:pt idx="32">
                  <c:v>August</c:v>
                </c:pt>
                <c:pt idx="33">
                  <c:v>September</c:v>
                </c:pt>
                <c:pt idx="34">
                  <c:v>October</c:v>
                </c:pt>
                <c:pt idx="35">
                  <c:v>November</c:v>
                </c:pt>
                <c:pt idx="36">
                  <c:v>December</c:v>
                </c:pt>
                <c:pt idx="37">
                  <c:v>January</c:v>
                </c:pt>
                <c:pt idx="38">
                  <c:v>February</c:v>
                </c:pt>
                <c:pt idx="39">
                  <c:v>March</c:v>
                </c:pt>
                <c:pt idx="40">
                  <c:v>April</c:v>
                </c:pt>
                <c:pt idx="41">
                  <c:v>May</c:v>
                </c:pt>
                <c:pt idx="42">
                  <c:v>June</c:v>
                </c:pt>
                <c:pt idx="43">
                  <c:v>July</c:v>
                </c:pt>
                <c:pt idx="44">
                  <c:v>August</c:v>
                </c:pt>
                <c:pt idx="45">
                  <c:v>September</c:v>
                </c:pt>
                <c:pt idx="46">
                  <c:v>October</c:v>
                </c:pt>
                <c:pt idx="47">
                  <c:v>November</c:v>
                </c:pt>
                <c:pt idx="48">
                  <c:v>December</c:v>
                </c:pt>
                <c:pt idx="49">
                  <c:v>January</c:v>
                </c:pt>
                <c:pt idx="50">
                  <c:v>February</c:v>
                </c:pt>
                <c:pt idx="51">
                  <c:v>March</c:v>
                </c:pt>
                <c:pt idx="52">
                  <c:v>April</c:v>
                </c:pt>
                <c:pt idx="53">
                  <c:v>May</c:v>
                </c:pt>
                <c:pt idx="54">
                  <c:v>June</c:v>
                </c:pt>
              </c:strCache>
            </c:strRef>
          </c:cat>
          <c:val>
            <c:numRef>
              <c:f>'NPV w Mo''ly data chart'!$C$12:$BE$12</c:f>
              <c:numCache>
                <c:formatCode>_(* #,##0_);_(* \(#,##0\);_(* "-"??_);_(@_)</c:formatCode>
                <c:ptCount val="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8189</c:v>
                </c:pt>
                <c:pt idx="21">
                  <c:v>9865.9</c:v>
                </c:pt>
                <c:pt idx="22">
                  <c:v>11767.483870967742</c:v>
                </c:pt>
                <c:pt idx="23">
                  <c:v>11417.103448275862</c:v>
                </c:pt>
                <c:pt idx="24">
                  <c:v>12952.387096774193</c:v>
                </c:pt>
                <c:pt idx="25">
                  <c:v>13742.774193548386</c:v>
                </c:pt>
                <c:pt idx="26">
                  <c:v>13755.607142857143</c:v>
                </c:pt>
                <c:pt idx="27">
                  <c:v>14384.322580645161</c:v>
                </c:pt>
                <c:pt idx="28">
                  <c:v>14748.066666666668</c:v>
                </c:pt>
                <c:pt idx="29">
                  <c:v>14803.806451612903</c:v>
                </c:pt>
                <c:pt idx="30">
                  <c:v>14604.333333333334</c:v>
                </c:pt>
                <c:pt idx="31">
                  <c:v>14759.129032258064</c:v>
                </c:pt>
                <c:pt idx="32">
                  <c:v>15206.258064516129</c:v>
                </c:pt>
                <c:pt idx="33">
                  <c:v>16429.333333333332</c:v>
                </c:pt>
                <c:pt idx="34">
                  <c:v>15120.25</c:v>
                </c:pt>
                <c:pt idx="35">
                  <c:v>15455</c:v>
                </c:pt>
                <c:pt idx="36">
                  <c:v>14775.451612903225</c:v>
                </c:pt>
                <c:pt idx="37">
                  <c:v>14084.870967741936</c:v>
                </c:pt>
                <c:pt idx="38">
                  <c:v>13777.75</c:v>
                </c:pt>
                <c:pt idx="39">
                  <c:v>13520.225806451614</c:v>
                </c:pt>
                <c:pt idx="40">
                  <c:v>11776.533333333333</c:v>
                </c:pt>
                <c:pt idx="41">
                  <c:v>14652.935483870968</c:v>
                </c:pt>
                <c:pt idx="42">
                  <c:v>15159.9</c:v>
                </c:pt>
                <c:pt idx="43">
                  <c:v>14233.322580645161</c:v>
                </c:pt>
                <c:pt idx="44">
                  <c:v>14056.548387096775</c:v>
                </c:pt>
                <c:pt idx="45">
                  <c:v>14037.966666666667</c:v>
                </c:pt>
                <c:pt idx="46">
                  <c:v>13572.935483870968</c:v>
                </c:pt>
                <c:pt idx="47">
                  <c:v>13100.206896551725</c:v>
                </c:pt>
                <c:pt idx="48">
                  <c:v>13073.193548387097</c:v>
                </c:pt>
                <c:pt idx="49">
                  <c:v>13107</c:v>
                </c:pt>
                <c:pt idx="50">
                  <c:v>12661.035714285714</c:v>
                </c:pt>
                <c:pt idx="51">
                  <c:v>12464.387096774193</c:v>
                </c:pt>
                <c:pt idx="52">
                  <c:v>12603.566666666668</c:v>
                </c:pt>
                <c:pt idx="53">
                  <c:v>12446.818181818182</c:v>
                </c:pt>
                <c:pt idx="54">
                  <c:v>12573.966666666667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8B7-4FD8-A165-9B2E23958F33}"/>
            </c:ext>
          </c:extLst>
        </c:ser>
        <c:ser>
          <c:idx val="9"/>
          <c:order val="9"/>
          <c:tx>
            <c:strRef>
              <c:f>'NPV w Mo''ly data chart'!$B$13</c:f>
              <c:strCache>
                <c:ptCount val="1"/>
                <c:pt idx="0">
                  <c:v>WR678 PS007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'NPV w Mo''ly data chart'!$C$2:$BE$3</c15:sqref>
                  </c15:fullRef>
                  <c15:levelRef>
                    <c15:sqref>'NPV w Mo''ly data chart'!$C$2:$BE$2</c15:sqref>
                  </c15:levelRef>
                </c:ext>
              </c:extLst>
              <c:f>'NPV w Mo''ly data chart'!$C$2:$BE$2</c:f>
              <c:strCache>
                <c:ptCount val="55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  <c:pt idx="13">
                  <c:v>January</c:v>
                </c:pt>
                <c:pt idx="14">
                  <c:v>February</c:v>
                </c:pt>
                <c:pt idx="15">
                  <c:v>March</c:v>
                </c:pt>
                <c:pt idx="16">
                  <c:v>April</c:v>
                </c:pt>
                <c:pt idx="17">
                  <c:v>May</c:v>
                </c:pt>
                <c:pt idx="18">
                  <c:v>June</c:v>
                </c:pt>
                <c:pt idx="19">
                  <c:v>July</c:v>
                </c:pt>
                <c:pt idx="20">
                  <c:v>August</c:v>
                </c:pt>
                <c:pt idx="21">
                  <c:v>September</c:v>
                </c:pt>
                <c:pt idx="22">
                  <c:v>October</c:v>
                </c:pt>
                <c:pt idx="23">
                  <c:v>November</c:v>
                </c:pt>
                <c:pt idx="24">
                  <c:v>December</c:v>
                </c:pt>
                <c:pt idx="25">
                  <c:v>January</c:v>
                </c:pt>
                <c:pt idx="26">
                  <c:v>February</c:v>
                </c:pt>
                <c:pt idx="27">
                  <c:v>March</c:v>
                </c:pt>
                <c:pt idx="28">
                  <c:v>April</c:v>
                </c:pt>
                <c:pt idx="29">
                  <c:v>May</c:v>
                </c:pt>
                <c:pt idx="30">
                  <c:v>June</c:v>
                </c:pt>
                <c:pt idx="31">
                  <c:v>July</c:v>
                </c:pt>
                <c:pt idx="32">
                  <c:v>August</c:v>
                </c:pt>
                <c:pt idx="33">
                  <c:v>September</c:v>
                </c:pt>
                <c:pt idx="34">
                  <c:v>October</c:v>
                </c:pt>
                <c:pt idx="35">
                  <c:v>November</c:v>
                </c:pt>
                <c:pt idx="36">
                  <c:v>December</c:v>
                </c:pt>
                <c:pt idx="37">
                  <c:v>January</c:v>
                </c:pt>
                <c:pt idx="38">
                  <c:v>February</c:v>
                </c:pt>
                <c:pt idx="39">
                  <c:v>March</c:v>
                </c:pt>
                <c:pt idx="40">
                  <c:v>April</c:v>
                </c:pt>
                <c:pt idx="41">
                  <c:v>May</c:v>
                </c:pt>
                <c:pt idx="42">
                  <c:v>June</c:v>
                </c:pt>
                <c:pt idx="43">
                  <c:v>July</c:v>
                </c:pt>
                <c:pt idx="44">
                  <c:v>August</c:v>
                </c:pt>
                <c:pt idx="45">
                  <c:v>September</c:v>
                </c:pt>
                <c:pt idx="46">
                  <c:v>October</c:v>
                </c:pt>
                <c:pt idx="47">
                  <c:v>November</c:v>
                </c:pt>
                <c:pt idx="48">
                  <c:v>December</c:v>
                </c:pt>
                <c:pt idx="49">
                  <c:v>January</c:v>
                </c:pt>
                <c:pt idx="50">
                  <c:v>February</c:v>
                </c:pt>
                <c:pt idx="51">
                  <c:v>March</c:v>
                </c:pt>
                <c:pt idx="52">
                  <c:v>April</c:v>
                </c:pt>
                <c:pt idx="53">
                  <c:v>May</c:v>
                </c:pt>
                <c:pt idx="54">
                  <c:v>June</c:v>
                </c:pt>
              </c:strCache>
            </c:strRef>
          </c:cat>
          <c:val>
            <c:numRef>
              <c:f>'NPV w Mo''ly data chart'!$C$13:$BE$13</c:f>
              <c:numCache>
                <c:formatCode>_(* #,##0_);_(* \(#,##0\);_(* "-"??_);_(@_)</c:formatCode>
                <c:ptCount val="55"/>
                <c:pt idx="0">
                  <c:v>0</c:v>
                </c:pt>
                <c:pt idx="42">
                  <c:v>6627.666666666667</c:v>
                </c:pt>
                <c:pt idx="43">
                  <c:v>10525.032258064517</c:v>
                </c:pt>
                <c:pt idx="44">
                  <c:v>11985.709677419354</c:v>
                </c:pt>
                <c:pt idx="45">
                  <c:v>12452.366666666667</c:v>
                </c:pt>
                <c:pt idx="46">
                  <c:v>12375.064516129032</c:v>
                </c:pt>
                <c:pt idx="47">
                  <c:v>12009.379310344828</c:v>
                </c:pt>
                <c:pt idx="48">
                  <c:v>12050.516129032258</c:v>
                </c:pt>
                <c:pt idx="49">
                  <c:v>12405.935483870968</c:v>
                </c:pt>
                <c:pt idx="50">
                  <c:v>11667</c:v>
                </c:pt>
                <c:pt idx="51">
                  <c:v>11027.258064516129</c:v>
                </c:pt>
                <c:pt idx="52">
                  <c:v>11232.9</c:v>
                </c:pt>
                <c:pt idx="53">
                  <c:v>11195.59090909091</c:v>
                </c:pt>
                <c:pt idx="54">
                  <c:v>10997.266666666666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8B7-4FD8-A165-9B2E23958F33}"/>
            </c:ext>
          </c:extLst>
        </c:ser>
        <c:ser>
          <c:idx val="10"/>
          <c:order val="10"/>
          <c:tx>
            <c:strRef>
              <c:f>'NPV w Mo''ly data chart'!$B$16</c:f>
              <c:strCache>
                <c:ptCount val="1"/>
                <c:pt idx="0">
                  <c:v>WR759 PS001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'NPV w Mo''ly data chart'!$C$2:$BE$3</c15:sqref>
                  </c15:fullRef>
                  <c15:levelRef>
                    <c15:sqref>'NPV w Mo''ly data chart'!$C$2:$BE$2</c15:sqref>
                  </c15:levelRef>
                </c:ext>
              </c:extLst>
              <c:f>'NPV w Mo''ly data chart'!$C$2:$BE$2</c:f>
              <c:strCache>
                <c:ptCount val="55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  <c:pt idx="13">
                  <c:v>January</c:v>
                </c:pt>
                <c:pt idx="14">
                  <c:v>February</c:v>
                </c:pt>
                <c:pt idx="15">
                  <c:v>March</c:v>
                </c:pt>
                <c:pt idx="16">
                  <c:v>April</c:v>
                </c:pt>
                <c:pt idx="17">
                  <c:v>May</c:v>
                </c:pt>
                <c:pt idx="18">
                  <c:v>June</c:v>
                </c:pt>
                <c:pt idx="19">
                  <c:v>July</c:v>
                </c:pt>
                <c:pt idx="20">
                  <c:v>August</c:v>
                </c:pt>
                <c:pt idx="21">
                  <c:v>September</c:v>
                </c:pt>
                <c:pt idx="22">
                  <c:v>October</c:v>
                </c:pt>
                <c:pt idx="23">
                  <c:v>November</c:v>
                </c:pt>
                <c:pt idx="24">
                  <c:v>December</c:v>
                </c:pt>
                <c:pt idx="25">
                  <c:v>January</c:v>
                </c:pt>
                <c:pt idx="26">
                  <c:v>February</c:v>
                </c:pt>
                <c:pt idx="27">
                  <c:v>March</c:v>
                </c:pt>
                <c:pt idx="28">
                  <c:v>April</c:v>
                </c:pt>
                <c:pt idx="29">
                  <c:v>May</c:v>
                </c:pt>
                <c:pt idx="30">
                  <c:v>June</c:v>
                </c:pt>
                <c:pt idx="31">
                  <c:v>July</c:v>
                </c:pt>
                <c:pt idx="32">
                  <c:v>August</c:v>
                </c:pt>
                <c:pt idx="33">
                  <c:v>September</c:v>
                </c:pt>
                <c:pt idx="34">
                  <c:v>October</c:v>
                </c:pt>
                <c:pt idx="35">
                  <c:v>November</c:v>
                </c:pt>
                <c:pt idx="36">
                  <c:v>December</c:v>
                </c:pt>
                <c:pt idx="37">
                  <c:v>January</c:v>
                </c:pt>
                <c:pt idx="38">
                  <c:v>February</c:v>
                </c:pt>
                <c:pt idx="39">
                  <c:v>March</c:v>
                </c:pt>
                <c:pt idx="40">
                  <c:v>April</c:v>
                </c:pt>
                <c:pt idx="41">
                  <c:v>May</c:v>
                </c:pt>
                <c:pt idx="42">
                  <c:v>June</c:v>
                </c:pt>
                <c:pt idx="43">
                  <c:v>July</c:v>
                </c:pt>
                <c:pt idx="44">
                  <c:v>August</c:v>
                </c:pt>
                <c:pt idx="45">
                  <c:v>September</c:v>
                </c:pt>
                <c:pt idx="46">
                  <c:v>October</c:v>
                </c:pt>
                <c:pt idx="47">
                  <c:v>November</c:v>
                </c:pt>
                <c:pt idx="48">
                  <c:v>December</c:v>
                </c:pt>
                <c:pt idx="49">
                  <c:v>January</c:v>
                </c:pt>
                <c:pt idx="50">
                  <c:v>February</c:v>
                </c:pt>
                <c:pt idx="51">
                  <c:v>March</c:v>
                </c:pt>
                <c:pt idx="52">
                  <c:v>April</c:v>
                </c:pt>
                <c:pt idx="53">
                  <c:v>May</c:v>
                </c:pt>
                <c:pt idx="54">
                  <c:v>June</c:v>
                </c:pt>
              </c:strCache>
            </c:strRef>
          </c:cat>
          <c:val>
            <c:numRef>
              <c:f>'NPV w Mo''ly data chart'!$C$16:$BE$16</c:f>
              <c:numCache>
                <c:formatCode>_(* #,##0_);_(* \(#,##0\);_(* "-"??_);_(@_)</c:formatCode>
                <c:ptCount val="55"/>
                <c:pt idx="0">
                  <c:v>8565.8799999999992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5">
                  <c:v>4310.2666666666664</c:v>
                </c:pt>
                <c:pt idx="26">
                  <c:v>738</c:v>
                </c:pt>
                <c:pt idx="27">
                  <c:v>4835.5357142857147</c:v>
                </c:pt>
                <c:pt idx="28">
                  <c:v>7325.2</c:v>
                </c:pt>
                <c:pt idx="29">
                  <c:v>6997.4193548387093</c:v>
                </c:pt>
                <c:pt idx="30">
                  <c:v>6976.4</c:v>
                </c:pt>
                <c:pt idx="31">
                  <c:v>7303.9354838709678</c:v>
                </c:pt>
                <c:pt idx="32">
                  <c:v>5497.5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8B7-4FD8-A165-9B2E23958F33}"/>
            </c:ext>
          </c:extLst>
        </c:ser>
        <c:ser>
          <c:idx val="11"/>
          <c:order val="11"/>
          <c:tx>
            <c:strRef>
              <c:f>'NPV w Mo''ly data chart'!$B$17</c:f>
              <c:strCache>
                <c:ptCount val="1"/>
                <c:pt idx="0">
                  <c:v>WR759 PS002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'NPV w Mo''ly data chart'!$C$2:$BE$3</c15:sqref>
                  </c15:fullRef>
                  <c15:levelRef>
                    <c15:sqref>'NPV w Mo''ly data chart'!$C$2:$BE$2</c15:sqref>
                  </c15:levelRef>
                </c:ext>
              </c:extLst>
              <c:f>'NPV w Mo''ly data chart'!$C$2:$BE$2</c:f>
              <c:strCache>
                <c:ptCount val="55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  <c:pt idx="13">
                  <c:v>January</c:v>
                </c:pt>
                <c:pt idx="14">
                  <c:v>February</c:v>
                </c:pt>
                <c:pt idx="15">
                  <c:v>March</c:v>
                </c:pt>
                <c:pt idx="16">
                  <c:v>April</c:v>
                </c:pt>
                <c:pt idx="17">
                  <c:v>May</c:v>
                </c:pt>
                <c:pt idx="18">
                  <c:v>June</c:v>
                </c:pt>
                <c:pt idx="19">
                  <c:v>July</c:v>
                </c:pt>
                <c:pt idx="20">
                  <c:v>August</c:v>
                </c:pt>
                <c:pt idx="21">
                  <c:v>September</c:v>
                </c:pt>
                <c:pt idx="22">
                  <c:v>October</c:v>
                </c:pt>
                <c:pt idx="23">
                  <c:v>November</c:v>
                </c:pt>
                <c:pt idx="24">
                  <c:v>December</c:v>
                </c:pt>
                <c:pt idx="25">
                  <c:v>January</c:v>
                </c:pt>
                <c:pt idx="26">
                  <c:v>February</c:v>
                </c:pt>
                <c:pt idx="27">
                  <c:v>March</c:v>
                </c:pt>
                <c:pt idx="28">
                  <c:v>April</c:v>
                </c:pt>
                <c:pt idx="29">
                  <c:v>May</c:v>
                </c:pt>
                <c:pt idx="30">
                  <c:v>June</c:v>
                </c:pt>
                <c:pt idx="31">
                  <c:v>July</c:v>
                </c:pt>
                <c:pt idx="32">
                  <c:v>August</c:v>
                </c:pt>
                <c:pt idx="33">
                  <c:v>September</c:v>
                </c:pt>
                <c:pt idx="34">
                  <c:v>October</c:v>
                </c:pt>
                <c:pt idx="35">
                  <c:v>November</c:v>
                </c:pt>
                <c:pt idx="36">
                  <c:v>December</c:v>
                </c:pt>
                <c:pt idx="37">
                  <c:v>January</c:v>
                </c:pt>
                <c:pt idx="38">
                  <c:v>February</c:v>
                </c:pt>
                <c:pt idx="39">
                  <c:v>March</c:v>
                </c:pt>
                <c:pt idx="40">
                  <c:v>April</c:v>
                </c:pt>
                <c:pt idx="41">
                  <c:v>May</c:v>
                </c:pt>
                <c:pt idx="42">
                  <c:v>June</c:v>
                </c:pt>
                <c:pt idx="43">
                  <c:v>July</c:v>
                </c:pt>
                <c:pt idx="44">
                  <c:v>August</c:v>
                </c:pt>
                <c:pt idx="45">
                  <c:v>September</c:v>
                </c:pt>
                <c:pt idx="46">
                  <c:v>October</c:v>
                </c:pt>
                <c:pt idx="47">
                  <c:v>November</c:v>
                </c:pt>
                <c:pt idx="48">
                  <c:v>December</c:v>
                </c:pt>
                <c:pt idx="49">
                  <c:v>January</c:v>
                </c:pt>
                <c:pt idx="50">
                  <c:v>February</c:v>
                </c:pt>
                <c:pt idx="51">
                  <c:v>March</c:v>
                </c:pt>
                <c:pt idx="52">
                  <c:v>April</c:v>
                </c:pt>
                <c:pt idx="53">
                  <c:v>May</c:v>
                </c:pt>
                <c:pt idx="54">
                  <c:v>June</c:v>
                </c:pt>
              </c:strCache>
            </c:strRef>
          </c:cat>
          <c:val>
            <c:numRef>
              <c:f>'NPV w Mo''ly data chart'!$C$17:$BE$17</c:f>
              <c:numCache>
                <c:formatCode>_(* #,##0_);_(* \(#,##0\);_(* "-"??_);_(@_)</c:formatCode>
                <c:ptCount val="55"/>
                <c:pt idx="0">
                  <c:v>0</c:v>
                </c:pt>
                <c:pt idx="1">
                  <c:v>11616.25</c:v>
                </c:pt>
                <c:pt idx="2">
                  <c:v>12999.25</c:v>
                </c:pt>
                <c:pt idx="3">
                  <c:v>14147.064516129032</c:v>
                </c:pt>
                <c:pt idx="4">
                  <c:v>13465.4</c:v>
                </c:pt>
                <c:pt idx="5">
                  <c:v>12616.758620689656</c:v>
                </c:pt>
                <c:pt idx="6">
                  <c:v>13383.133333333333</c:v>
                </c:pt>
                <c:pt idx="7">
                  <c:v>12302.260869565218</c:v>
                </c:pt>
                <c:pt idx="8">
                  <c:v>12680.225806451614</c:v>
                </c:pt>
                <c:pt idx="9">
                  <c:v>11413.366666666667</c:v>
                </c:pt>
                <c:pt idx="10">
                  <c:v>10655.612903225807</c:v>
                </c:pt>
                <c:pt idx="11">
                  <c:v>10056.103448275862</c:v>
                </c:pt>
                <c:pt idx="12">
                  <c:v>10589.838709677419</c:v>
                </c:pt>
                <c:pt idx="13">
                  <c:v>10775.709677419354</c:v>
                </c:pt>
                <c:pt idx="14">
                  <c:v>10902.724137931034</c:v>
                </c:pt>
                <c:pt idx="15">
                  <c:v>11249.258064516129</c:v>
                </c:pt>
                <c:pt idx="16">
                  <c:v>10529.866666666667</c:v>
                </c:pt>
                <c:pt idx="17">
                  <c:v>10324.68</c:v>
                </c:pt>
                <c:pt idx="18">
                  <c:v>10962.966666666667</c:v>
                </c:pt>
                <c:pt idx="19">
                  <c:v>10887.967741935483</c:v>
                </c:pt>
                <c:pt idx="20">
                  <c:v>11005.032258064517</c:v>
                </c:pt>
                <c:pt idx="21">
                  <c:v>10800.366666666667</c:v>
                </c:pt>
                <c:pt idx="22">
                  <c:v>10583.774193548386</c:v>
                </c:pt>
                <c:pt idx="23">
                  <c:v>10504.2</c:v>
                </c:pt>
                <c:pt idx="24">
                  <c:v>10362.935483870968</c:v>
                </c:pt>
                <c:pt idx="25">
                  <c:v>9583.3870967741932</c:v>
                </c:pt>
                <c:pt idx="26">
                  <c:v>9615.8928571428569</c:v>
                </c:pt>
                <c:pt idx="27">
                  <c:v>9415.032258064517</c:v>
                </c:pt>
                <c:pt idx="28">
                  <c:v>8937.2999999999993</c:v>
                </c:pt>
                <c:pt idx="29">
                  <c:v>9132.8064516129034</c:v>
                </c:pt>
                <c:pt idx="30">
                  <c:v>8813.1333333333332</c:v>
                </c:pt>
                <c:pt idx="31">
                  <c:v>8996.354838709678</c:v>
                </c:pt>
                <c:pt idx="32">
                  <c:v>7958</c:v>
                </c:pt>
                <c:pt idx="33">
                  <c:v>8377.0333333333328</c:v>
                </c:pt>
                <c:pt idx="34">
                  <c:v>7984.4285714285716</c:v>
                </c:pt>
                <c:pt idx="35">
                  <c:v>8265.0666666666675</c:v>
                </c:pt>
                <c:pt idx="36">
                  <c:v>8219.4193548387102</c:v>
                </c:pt>
                <c:pt idx="37">
                  <c:v>8196.6129032258068</c:v>
                </c:pt>
                <c:pt idx="38">
                  <c:v>7545.4642857142853</c:v>
                </c:pt>
                <c:pt idx="39">
                  <c:v>9540.7419354838712</c:v>
                </c:pt>
                <c:pt idx="40">
                  <c:v>9120.4</c:v>
                </c:pt>
                <c:pt idx="41">
                  <c:v>9135.7741935483864</c:v>
                </c:pt>
                <c:pt idx="42">
                  <c:v>8959.6</c:v>
                </c:pt>
                <c:pt idx="43">
                  <c:v>8217.7096774193542</c:v>
                </c:pt>
                <c:pt idx="44">
                  <c:v>8497.3870967741932</c:v>
                </c:pt>
                <c:pt idx="45">
                  <c:v>8256</c:v>
                </c:pt>
                <c:pt idx="46">
                  <c:v>8079.322580645161</c:v>
                </c:pt>
                <c:pt idx="47">
                  <c:v>7866.666666666667</c:v>
                </c:pt>
                <c:pt idx="48">
                  <c:v>7245.8666666666668</c:v>
                </c:pt>
                <c:pt idx="49">
                  <c:v>7879.322580645161</c:v>
                </c:pt>
                <c:pt idx="50">
                  <c:v>7590.6071428571431</c:v>
                </c:pt>
                <c:pt idx="51">
                  <c:v>7108.1935483870966</c:v>
                </c:pt>
                <c:pt idx="52">
                  <c:v>7251.9666666666662</c:v>
                </c:pt>
                <c:pt idx="53">
                  <c:v>6805.272727272727</c:v>
                </c:pt>
                <c:pt idx="54">
                  <c:v>6634.5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8B7-4FD8-A165-9B2E23958F33}"/>
            </c:ext>
          </c:extLst>
        </c:ser>
        <c:ser>
          <c:idx val="12"/>
          <c:order val="12"/>
          <c:tx>
            <c:strRef>
              <c:f>'NPV w Mo''ly data chart'!$B$18</c:f>
              <c:strCache>
                <c:ptCount val="1"/>
                <c:pt idx="0">
                  <c:v>WR759 PS004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'NPV w Mo''ly data chart'!$C$2:$BE$3</c15:sqref>
                  </c15:fullRef>
                  <c15:levelRef>
                    <c15:sqref>'NPV w Mo''ly data chart'!$C$2:$BE$2</c15:sqref>
                  </c15:levelRef>
                </c:ext>
              </c:extLst>
              <c:f>'NPV w Mo''ly data chart'!$C$2:$BE$2</c:f>
              <c:strCache>
                <c:ptCount val="55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  <c:pt idx="13">
                  <c:v>January</c:v>
                </c:pt>
                <c:pt idx="14">
                  <c:v>February</c:v>
                </c:pt>
                <c:pt idx="15">
                  <c:v>March</c:v>
                </c:pt>
                <c:pt idx="16">
                  <c:v>April</c:v>
                </c:pt>
                <c:pt idx="17">
                  <c:v>May</c:v>
                </c:pt>
                <c:pt idx="18">
                  <c:v>June</c:v>
                </c:pt>
                <c:pt idx="19">
                  <c:v>July</c:v>
                </c:pt>
                <c:pt idx="20">
                  <c:v>August</c:v>
                </c:pt>
                <c:pt idx="21">
                  <c:v>September</c:v>
                </c:pt>
                <c:pt idx="22">
                  <c:v>October</c:v>
                </c:pt>
                <c:pt idx="23">
                  <c:v>November</c:v>
                </c:pt>
                <c:pt idx="24">
                  <c:v>December</c:v>
                </c:pt>
                <c:pt idx="25">
                  <c:v>January</c:v>
                </c:pt>
                <c:pt idx="26">
                  <c:v>February</c:v>
                </c:pt>
                <c:pt idx="27">
                  <c:v>March</c:v>
                </c:pt>
                <c:pt idx="28">
                  <c:v>April</c:v>
                </c:pt>
                <c:pt idx="29">
                  <c:v>May</c:v>
                </c:pt>
                <c:pt idx="30">
                  <c:v>June</c:v>
                </c:pt>
                <c:pt idx="31">
                  <c:v>July</c:v>
                </c:pt>
                <c:pt idx="32">
                  <c:v>August</c:v>
                </c:pt>
                <c:pt idx="33">
                  <c:v>September</c:v>
                </c:pt>
                <c:pt idx="34">
                  <c:v>October</c:v>
                </c:pt>
                <c:pt idx="35">
                  <c:v>November</c:v>
                </c:pt>
                <c:pt idx="36">
                  <c:v>December</c:v>
                </c:pt>
                <c:pt idx="37">
                  <c:v>January</c:v>
                </c:pt>
                <c:pt idx="38">
                  <c:v>February</c:v>
                </c:pt>
                <c:pt idx="39">
                  <c:v>March</c:v>
                </c:pt>
                <c:pt idx="40">
                  <c:v>April</c:v>
                </c:pt>
                <c:pt idx="41">
                  <c:v>May</c:v>
                </c:pt>
                <c:pt idx="42">
                  <c:v>June</c:v>
                </c:pt>
                <c:pt idx="43">
                  <c:v>July</c:v>
                </c:pt>
                <c:pt idx="44">
                  <c:v>August</c:v>
                </c:pt>
                <c:pt idx="45">
                  <c:v>September</c:v>
                </c:pt>
                <c:pt idx="46">
                  <c:v>October</c:v>
                </c:pt>
                <c:pt idx="47">
                  <c:v>November</c:v>
                </c:pt>
                <c:pt idx="48">
                  <c:v>December</c:v>
                </c:pt>
                <c:pt idx="49">
                  <c:v>January</c:v>
                </c:pt>
                <c:pt idx="50">
                  <c:v>February</c:v>
                </c:pt>
                <c:pt idx="51">
                  <c:v>March</c:v>
                </c:pt>
                <c:pt idx="52">
                  <c:v>April</c:v>
                </c:pt>
                <c:pt idx="53">
                  <c:v>May</c:v>
                </c:pt>
                <c:pt idx="54">
                  <c:v>June</c:v>
                </c:pt>
              </c:strCache>
            </c:strRef>
          </c:cat>
          <c:val>
            <c:numRef>
              <c:f>'NPV w Mo''ly data chart'!$C$18:$BE$18</c:f>
              <c:numCache>
                <c:formatCode>_(* #,##0_);_(* \(#,##0\);_(* "-"??_);_(@_)</c:formatCode>
                <c:ptCount val="55"/>
                <c:pt idx="0">
                  <c:v>1331.25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9320.2941176470595</c:v>
                </c:pt>
                <c:pt idx="8">
                  <c:v>12506.838709677419</c:v>
                </c:pt>
                <c:pt idx="9">
                  <c:v>12578.7</c:v>
                </c:pt>
                <c:pt idx="10">
                  <c:v>12528.032258064517</c:v>
                </c:pt>
                <c:pt idx="11">
                  <c:v>12295.965517241379</c:v>
                </c:pt>
                <c:pt idx="12">
                  <c:v>12950.032258064517</c:v>
                </c:pt>
                <c:pt idx="13">
                  <c:v>13213.129032258064</c:v>
                </c:pt>
                <c:pt idx="14">
                  <c:v>13575.724137931034</c:v>
                </c:pt>
                <c:pt idx="15">
                  <c:v>14509.967741935483</c:v>
                </c:pt>
                <c:pt idx="16">
                  <c:v>14188.066666666668</c:v>
                </c:pt>
                <c:pt idx="17">
                  <c:v>14438.24</c:v>
                </c:pt>
                <c:pt idx="18">
                  <c:v>15465.433333333332</c:v>
                </c:pt>
                <c:pt idx="19">
                  <c:v>15319.161290322581</c:v>
                </c:pt>
                <c:pt idx="20">
                  <c:v>15654.967741935483</c:v>
                </c:pt>
                <c:pt idx="21">
                  <c:v>15454.866666666667</c:v>
                </c:pt>
                <c:pt idx="22">
                  <c:v>14540.516129032258</c:v>
                </c:pt>
                <c:pt idx="23">
                  <c:v>15701.833333333334</c:v>
                </c:pt>
                <c:pt idx="24">
                  <c:v>16502.580645161292</c:v>
                </c:pt>
                <c:pt idx="25">
                  <c:v>15641.870967741936</c:v>
                </c:pt>
                <c:pt idx="26">
                  <c:v>16865.035714285714</c:v>
                </c:pt>
                <c:pt idx="27">
                  <c:v>16465.806451612902</c:v>
                </c:pt>
                <c:pt idx="28">
                  <c:v>16365.933333333332</c:v>
                </c:pt>
                <c:pt idx="29">
                  <c:v>16778.709677419356</c:v>
                </c:pt>
                <c:pt idx="30">
                  <c:v>16464.366666666665</c:v>
                </c:pt>
                <c:pt idx="31">
                  <c:v>15236.586206896553</c:v>
                </c:pt>
                <c:pt idx="32">
                  <c:v>6105.4</c:v>
                </c:pt>
                <c:pt idx="33">
                  <c:v>5804.1</c:v>
                </c:pt>
                <c:pt idx="34">
                  <c:v>8438.25</c:v>
                </c:pt>
                <c:pt idx="35">
                  <c:v>8008.0714285714284</c:v>
                </c:pt>
                <c:pt idx="36">
                  <c:v>9869.5483870967746</c:v>
                </c:pt>
                <c:pt idx="37">
                  <c:v>10209.935483870968</c:v>
                </c:pt>
                <c:pt idx="38">
                  <c:v>12299.785714285714</c:v>
                </c:pt>
                <c:pt idx="39">
                  <c:v>10533.612903225807</c:v>
                </c:pt>
                <c:pt idx="40">
                  <c:v>10176.766666666666</c:v>
                </c:pt>
                <c:pt idx="41">
                  <c:v>10318.290322580646</c:v>
                </c:pt>
                <c:pt idx="42">
                  <c:v>10488.5</c:v>
                </c:pt>
                <c:pt idx="43">
                  <c:v>10099.322580645161</c:v>
                </c:pt>
                <c:pt idx="44">
                  <c:v>10313.709677419354</c:v>
                </c:pt>
                <c:pt idx="45">
                  <c:v>10497.366666666667</c:v>
                </c:pt>
                <c:pt idx="46">
                  <c:v>10253.838709677419</c:v>
                </c:pt>
                <c:pt idx="47">
                  <c:v>9859.5</c:v>
                </c:pt>
                <c:pt idx="48">
                  <c:v>9658.0344827586214</c:v>
                </c:pt>
                <c:pt idx="49">
                  <c:v>10165.483870967742</c:v>
                </c:pt>
                <c:pt idx="50">
                  <c:v>11454.857142857143</c:v>
                </c:pt>
                <c:pt idx="51">
                  <c:v>11768.741935483871</c:v>
                </c:pt>
                <c:pt idx="52">
                  <c:v>11997.433333333332</c:v>
                </c:pt>
                <c:pt idx="53">
                  <c:v>10987.565217391304</c:v>
                </c:pt>
                <c:pt idx="54">
                  <c:v>12098.866666666667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C8B7-4FD8-A165-9B2E23958F33}"/>
            </c:ext>
          </c:extLst>
        </c:ser>
        <c:ser>
          <c:idx val="13"/>
          <c:order val="13"/>
          <c:tx>
            <c:strRef>
              <c:f>'NPV w Mo''ly data chart'!$B$19</c:f>
              <c:strCache>
                <c:ptCount val="1"/>
                <c:pt idx="0">
                  <c:v>WR759 PS005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'NPV w Mo''ly data chart'!$C$2:$BE$3</c15:sqref>
                  </c15:fullRef>
                  <c15:levelRef>
                    <c15:sqref>'NPV w Mo''ly data chart'!$C$2:$BE$2</c15:sqref>
                  </c15:levelRef>
                </c:ext>
              </c:extLst>
              <c:f>'NPV w Mo''ly data chart'!$C$2:$BE$2</c:f>
              <c:strCache>
                <c:ptCount val="55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  <c:pt idx="13">
                  <c:v>January</c:v>
                </c:pt>
                <c:pt idx="14">
                  <c:v>February</c:v>
                </c:pt>
                <c:pt idx="15">
                  <c:v>March</c:v>
                </c:pt>
                <c:pt idx="16">
                  <c:v>April</c:v>
                </c:pt>
                <c:pt idx="17">
                  <c:v>May</c:v>
                </c:pt>
                <c:pt idx="18">
                  <c:v>June</c:v>
                </c:pt>
                <c:pt idx="19">
                  <c:v>July</c:v>
                </c:pt>
                <c:pt idx="20">
                  <c:v>August</c:v>
                </c:pt>
                <c:pt idx="21">
                  <c:v>September</c:v>
                </c:pt>
                <c:pt idx="22">
                  <c:v>October</c:v>
                </c:pt>
                <c:pt idx="23">
                  <c:v>November</c:v>
                </c:pt>
                <c:pt idx="24">
                  <c:v>December</c:v>
                </c:pt>
                <c:pt idx="25">
                  <c:v>January</c:v>
                </c:pt>
                <c:pt idx="26">
                  <c:v>February</c:v>
                </c:pt>
                <c:pt idx="27">
                  <c:v>March</c:v>
                </c:pt>
                <c:pt idx="28">
                  <c:v>April</c:v>
                </c:pt>
                <c:pt idx="29">
                  <c:v>May</c:v>
                </c:pt>
                <c:pt idx="30">
                  <c:v>June</c:v>
                </c:pt>
                <c:pt idx="31">
                  <c:v>July</c:v>
                </c:pt>
                <c:pt idx="32">
                  <c:v>August</c:v>
                </c:pt>
                <c:pt idx="33">
                  <c:v>September</c:v>
                </c:pt>
                <c:pt idx="34">
                  <c:v>October</c:v>
                </c:pt>
                <c:pt idx="35">
                  <c:v>November</c:v>
                </c:pt>
                <c:pt idx="36">
                  <c:v>December</c:v>
                </c:pt>
                <c:pt idx="37">
                  <c:v>January</c:v>
                </c:pt>
                <c:pt idx="38">
                  <c:v>February</c:v>
                </c:pt>
                <c:pt idx="39">
                  <c:v>March</c:v>
                </c:pt>
                <c:pt idx="40">
                  <c:v>April</c:v>
                </c:pt>
                <c:pt idx="41">
                  <c:v>May</c:v>
                </c:pt>
                <c:pt idx="42">
                  <c:v>June</c:v>
                </c:pt>
                <c:pt idx="43">
                  <c:v>July</c:v>
                </c:pt>
                <c:pt idx="44">
                  <c:v>August</c:v>
                </c:pt>
                <c:pt idx="45">
                  <c:v>September</c:v>
                </c:pt>
                <c:pt idx="46">
                  <c:v>October</c:v>
                </c:pt>
                <c:pt idx="47">
                  <c:v>November</c:v>
                </c:pt>
                <c:pt idx="48">
                  <c:v>December</c:v>
                </c:pt>
                <c:pt idx="49">
                  <c:v>January</c:v>
                </c:pt>
                <c:pt idx="50">
                  <c:v>February</c:v>
                </c:pt>
                <c:pt idx="51">
                  <c:v>March</c:v>
                </c:pt>
                <c:pt idx="52">
                  <c:v>April</c:v>
                </c:pt>
                <c:pt idx="53">
                  <c:v>May</c:v>
                </c:pt>
                <c:pt idx="54">
                  <c:v>June</c:v>
                </c:pt>
              </c:strCache>
            </c:strRef>
          </c:cat>
          <c:val>
            <c:numRef>
              <c:f>'NPV w Mo''ly data chart'!$C$19:$BE$19</c:f>
              <c:numCache>
                <c:formatCode>_(* #,##0_);_(* \(#,##0\);_(* "-"??_);_(@_)</c:formatCode>
                <c:ptCount val="55"/>
                <c:pt idx="0">
                  <c:v>0</c:v>
                </c:pt>
                <c:pt idx="1">
                  <c:v>873.5</c:v>
                </c:pt>
                <c:pt idx="2">
                  <c:v>6790.8</c:v>
                </c:pt>
                <c:pt idx="3">
                  <c:v>0</c:v>
                </c:pt>
                <c:pt idx="4">
                  <c:v>9962.6666666666661</c:v>
                </c:pt>
                <c:pt idx="5">
                  <c:v>12357</c:v>
                </c:pt>
                <c:pt idx="6">
                  <c:v>12247.5</c:v>
                </c:pt>
                <c:pt idx="7">
                  <c:v>10966.652173913044</c:v>
                </c:pt>
                <c:pt idx="8">
                  <c:v>11142.032258064517</c:v>
                </c:pt>
                <c:pt idx="9">
                  <c:v>11061.8</c:v>
                </c:pt>
                <c:pt idx="10">
                  <c:v>10468.741935483871</c:v>
                </c:pt>
                <c:pt idx="11">
                  <c:v>9706.1724137931033</c:v>
                </c:pt>
                <c:pt idx="12">
                  <c:v>10611</c:v>
                </c:pt>
                <c:pt idx="13">
                  <c:v>10098.258064516129</c:v>
                </c:pt>
                <c:pt idx="14">
                  <c:v>10102.965517241379</c:v>
                </c:pt>
                <c:pt idx="15">
                  <c:v>10298.548387096775</c:v>
                </c:pt>
                <c:pt idx="16">
                  <c:v>10298.548387096775</c:v>
                </c:pt>
                <c:pt idx="17">
                  <c:v>9429.64</c:v>
                </c:pt>
                <c:pt idx="18">
                  <c:v>9958.0333333333328</c:v>
                </c:pt>
                <c:pt idx="19">
                  <c:v>9586.7096774193542</c:v>
                </c:pt>
                <c:pt idx="20">
                  <c:v>9574.8387096774186</c:v>
                </c:pt>
                <c:pt idx="21">
                  <c:v>9347</c:v>
                </c:pt>
                <c:pt idx="22">
                  <c:v>8517.4516129032254</c:v>
                </c:pt>
                <c:pt idx="23">
                  <c:v>8723.7000000000007</c:v>
                </c:pt>
                <c:pt idx="24">
                  <c:v>8776.2258064516136</c:v>
                </c:pt>
                <c:pt idx="25">
                  <c:v>8424.3870967741932</c:v>
                </c:pt>
                <c:pt idx="26">
                  <c:v>8567</c:v>
                </c:pt>
                <c:pt idx="27">
                  <c:v>8614.9032258064508</c:v>
                </c:pt>
                <c:pt idx="28">
                  <c:v>8440</c:v>
                </c:pt>
                <c:pt idx="29">
                  <c:v>8652.1612903225814</c:v>
                </c:pt>
                <c:pt idx="30">
                  <c:v>8224.2666666666664</c:v>
                </c:pt>
                <c:pt idx="31">
                  <c:v>8502.4838709677424</c:v>
                </c:pt>
                <c:pt idx="32">
                  <c:v>7669.8620689655172</c:v>
                </c:pt>
                <c:pt idx="33">
                  <c:v>8042.166666666667</c:v>
                </c:pt>
                <c:pt idx="34">
                  <c:v>7357.2857142857147</c:v>
                </c:pt>
                <c:pt idx="35">
                  <c:v>7736.4</c:v>
                </c:pt>
                <c:pt idx="36">
                  <c:v>7670.3870967741932</c:v>
                </c:pt>
                <c:pt idx="37">
                  <c:v>7527.2580645161288</c:v>
                </c:pt>
                <c:pt idx="38">
                  <c:v>7040.5</c:v>
                </c:pt>
                <c:pt idx="39">
                  <c:v>8648.4193548387102</c:v>
                </c:pt>
                <c:pt idx="40">
                  <c:v>8256.1333333333332</c:v>
                </c:pt>
                <c:pt idx="41">
                  <c:v>8151.3870967741932</c:v>
                </c:pt>
                <c:pt idx="42">
                  <c:v>7730.333333333333</c:v>
                </c:pt>
                <c:pt idx="43">
                  <c:v>7624.1290322580644</c:v>
                </c:pt>
                <c:pt idx="44">
                  <c:v>7754.0645161290322</c:v>
                </c:pt>
                <c:pt idx="45">
                  <c:v>7489.4333333333334</c:v>
                </c:pt>
                <c:pt idx="46">
                  <c:v>7425.3548387096771</c:v>
                </c:pt>
                <c:pt idx="47">
                  <c:v>7356.5666666666666</c:v>
                </c:pt>
                <c:pt idx="48">
                  <c:v>6649.4</c:v>
                </c:pt>
                <c:pt idx="49">
                  <c:v>7426.5483870967746</c:v>
                </c:pt>
                <c:pt idx="50">
                  <c:v>7109.2857142857147</c:v>
                </c:pt>
                <c:pt idx="51">
                  <c:v>6863.333333333333</c:v>
                </c:pt>
                <c:pt idx="52">
                  <c:v>6839.8</c:v>
                </c:pt>
                <c:pt idx="53">
                  <c:v>6619.272727272727</c:v>
                </c:pt>
                <c:pt idx="54">
                  <c:v>7060.6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8B7-4FD8-A165-9B2E23958F33}"/>
            </c:ext>
          </c:extLst>
        </c:ser>
        <c:ser>
          <c:idx val="14"/>
          <c:order val="14"/>
          <c:tx>
            <c:strRef>
              <c:f>'NPV w Mo''ly data chart'!$B$20</c:f>
              <c:strCache>
                <c:ptCount val="1"/>
                <c:pt idx="0">
                  <c:v>WR759 PS007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'NPV w Mo''ly data chart'!$C$2:$BE$3</c15:sqref>
                  </c15:fullRef>
                  <c15:levelRef>
                    <c15:sqref>'NPV w Mo''ly data chart'!$C$2:$BE$2</c15:sqref>
                  </c15:levelRef>
                </c:ext>
              </c:extLst>
              <c:f>'NPV w Mo''ly data chart'!$C$2:$BE$2</c:f>
              <c:strCache>
                <c:ptCount val="55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  <c:pt idx="13">
                  <c:v>January</c:v>
                </c:pt>
                <c:pt idx="14">
                  <c:v>February</c:v>
                </c:pt>
                <c:pt idx="15">
                  <c:v>March</c:v>
                </c:pt>
                <c:pt idx="16">
                  <c:v>April</c:v>
                </c:pt>
                <c:pt idx="17">
                  <c:v>May</c:v>
                </c:pt>
                <c:pt idx="18">
                  <c:v>June</c:v>
                </c:pt>
                <c:pt idx="19">
                  <c:v>July</c:v>
                </c:pt>
                <c:pt idx="20">
                  <c:v>August</c:v>
                </c:pt>
                <c:pt idx="21">
                  <c:v>September</c:v>
                </c:pt>
                <c:pt idx="22">
                  <c:v>October</c:v>
                </c:pt>
                <c:pt idx="23">
                  <c:v>November</c:v>
                </c:pt>
                <c:pt idx="24">
                  <c:v>December</c:v>
                </c:pt>
                <c:pt idx="25">
                  <c:v>January</c:v>
                </c:pt>
                <c:pt idx="26">
                  <c:v>February</c:v>
                </c:pt>
                <c:pt idx="27">
                  <c:v>March</c:v>
                </c:pt>
                <c:pt idx="28">
                  <c:v>April</c:v>
                </c:pt>
                <c:pt idx="29">
                  <c:v>May</c:v>
                </c:pt>
                <c:pt idx="30">
                  <c:v>June</c:v>
                </c:pt>
                <c:pt idx="31">
                  <c:v>July</c:v>
                </c:pt>
                <c:pt idx="32">
                  <c:v>August</c:v>
                </c:pt>
                <c:pt idx="33">
                  <c:v>September</c:v>
                </c:pt>
                <c:pt idx="34">
                  <c:v>October</c:v>
                </c:pt>
                <c:pt idx="35">
                  <c:v>November</c:v>
                </c:pt>
                <c:pt idx="36">
                  <c:v>December</c:v>
                </c:pt>
                <c:pt idx="37">
                  <c:v>January</c:v>
                </c:pt>
                <c:pt idx="38">
                  <c:v>February</c:v>
                </c:pt>
                <c:pt idx="39">
                  <c:v>March</c:v>
                </c:pt>
                <c:pt idx="40">
                  <c:v>April</c:v>
                </c:pt>
                <c:pt idx="41">
                  <c:v>May</c:v>
                </c:pt>
                <c:pt idx="42">
                  <c:v>June</c:v>
                </c:pt>
                <c:pt idx="43">
                  <c:v>July</c:v>
                </c:pt>
                <c:pt idx="44">
                  <c:v>August</c:v>
                </c:pt>
                <c:pt idx="45">
                  <c:v>September</c:v>
                </c:pt>
                <c:pt idx="46">
                  <c:v>October</c:v>
                </c:pt>
                <c:pt idx="47">
                  <c:v>November</c:v>
                </c:pt>
                <c:pt idx="48">
                  <c:v>December</c:v>
                </c:pt>
                <c:pt idx="49">
                  <c:v>January</c:v>
                </c:pt>
                <c:pt idx="50">
                  <c:v>February</c:v>
                </c:pt>
                <c:pt idx="51">
                  <c:v>March</c:v>
                </c:pt>
                <c:pt idx="52">
                  <c:v>April</c:v>
                </c:pt>
                <c:pt idx="53">
                  <c:v>May</c:v>
                </c:pt>
                <c:pt idx="54">
                  <c:v>June</c:v>
                </c:pt>
              </c:strCache>
            </c:strRef>
          </c:cat>
          <c:val>
            <c:numRef>
              <c:f>'NPV w Mo''ly data chart'!$C$20:$BE$20</c:f>
              <c:numCache>
                <c:formatCode>_(* #,##0_);_(* \(#,##0\);_(* "-"??_);_(@_)</c:formatCode>
                <c:ptCount val="55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5866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6777.9642857142853</c:v>
                </c:pt>
                <c:pt idx="41">
                  <c:v>7471</c:v>
                </c:pt>
                <c:pt idx="42">
                  <c:v>8594.3333333333339</c:v>
                </c:pt>
                <c:pt idx="43">
                  <c:v>9039.8387096774186</c:v>
                </c:pt>
                <c:pt idx="44">
                  <c:v>10846.064516129032</c:v>
                </c:pt>
                <c:pt idx="45">
                  <c:v>10968.3</c:v>
                </c:pt>
                <c:pt idx="46">
                  <c:v>10994.516129032258</c:v>
                </c:pt>
                <c:pt idx="47">
                  <c:v>11756.933333333332</c:v>
                </c:pt>
                <c:pt idx="48">
                  <c:v>11068.4</c:v>
                </c:pt>
                <c:pt idx="49">
                  <c:v>11928.41935483871</c:v>
                </c:pt>
                <c:pt idx="50">
                  <c:v>12408.071428571429</c:v>
                </c:pt>
                <c:pt idx="51">
                  <c:v>12133.483870967742</c:v>
                </c:pt>
                <c:pt idx="52">
                  <c:v>12415.166666666666</c:v>
                </c:pt>
                <c:pt idx="53">
                  <c:v>11592.391304347826</c:v>
                </c:pt>
                <c:pt idx="54">
                  <c:v>13107.2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C8B7-4FD8-A165-9B2E23958F33}"/>
            </c:ext>
          </c:extLst>
        </c:ser>
        <c:ser>
          <c:idx val="15"/>
          <c:order val="15"/>
          <c:tx>
            <c:strRef>
              <c:f>'NPV w Mo''ly data chart'!$B$21</c:f>
              <c:strCache>
                <c:ptCount val="1"/>
                <c:pt idx="0">
                  <c:v>WR759 PS008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'NPV w Mo''ly data chart'!$C$2:$BE$3</c15:sqref>
                  </c15:fullRef>
                  <c15:levelRef>
                    <c15:sqref>'NPV w Mo''ly data chart'!$C$2:$BE$2</c15:sqref>
                  </c15:levelRef>
                </c:ext>
              </c:extLst>
              <c:f>'NPV w Mo''ly data chart'!$C$2:$BE$2</c:f>
              <c:strCache>
                <c:ptCount val="55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  <c:pt idx="13">
                  <c:v>January</c:v>
                </c:pt>
                <c:pt idx="14">
                  <c:v>February</c:v>
                </c:pt>
                <c:pt idx="15">
                  <c:v>March</c:v>
                </c:pt>
                <c:pt idx="16">
                  <c:v>April</c:v>
                </c:pt>
                <c:pt idx="17">
                  <c:v>May</c:v>
                </c:pt>
                <c:pt idx="18">
                  <c:v>June</c:v>
                </c:pt>
                <c:pt idx="19">
                  <c:v>July</c:v>
                </c:pt>
                <c:pt idx="20">
                  <c:v>August</c:v>
                </c:pt>
                <c:pt idx="21">
                  <c:v>September</c:v>
                </c:pt>
                <c:pt idx="22">
                  <c:v>October</c:v>
                </c:pt>
                <c:pt idx="23">
                  <c:v>November</c:v>
                </c:pt>
                <c:pt idx="24">
                  <c:v>December</c:v>
                </c:pt>
                <c:pt idx="25">
                  <c:v>January</c:v>
                </c:pt>
                <c:pt idx="26">
                  <c:v>February</c:v>
                </c:pt>
                <c:pt idx="27">
                  <c:v>March</c:v>
                </c:pt>
                <c:pt idx="28">
                  <c:v>April</c:v>
                </c:pt>
                <c:pt idx="29">
                  <c:v>May</c:v>
                </c:pt>
                <c:pt idx="30">
                  <c:v>June</c:v>
                </c:pt>
                <c:pt idx="31">
                  <c:v>July</c:v>
                </c:pt>
                <c:pt idx="32">
                  <c:v>August</c:v>
                </c:pt>
                <c:pt idx="33">
                  <c:v>September</c:v>
                </c:pt>
                <c:pt idx="34">
                  <c:v>October</c:v>
                </c:pt>
                <c:pt idx="35">
                  <c:v>November</c:v>
                </c:pt>
                <c:pt idx="36">
                  <c:v>December</c:v>
                </c:pt>
                <c:pt idx="37">
                  <c:v>January</c:v>
                </c:pt>
                <c:pt idx="38">
                  <c:v>February</c:v>
                </c:pt>
                <c:pt idx="39">
                  <c:v>March</c:v>
                </c:pt>
                <c:pt idx="40">
                  <c:v>April</c:v>
                </c:pt>
                <c:pt idx="41">
                  <c:v>May</c:v>
                </c:pt>
                <c:pt idx="42">
                  <c:v>June</c:v>
                </c:pt>
                <c:pt idx="43">
                  <c:v>July</c:v>
                </c:pt>
                <c:pt idx="44">
                  <c:v>August</c:v>
                </c:pt>
                <c:pt idx="45">
                  <c:v>September</c:v>
                </c:pt>
                <c:pt idx="46">
                  <c:v>October</c:v>
                </c:pt>
                <c:pt idx="47">
                  <c:v>November</c:v>
                </c:pt>
                <c:pt idx="48">
                  <c:v>December</c:v>
                </c:pt>
                <c:pt idx="49">
                  <c:v>January</c:v>
                </c:pt>
                <c:pt idx="50">
                  <c:v>February</c:v>
                </c:pt>
                <c:pt idx="51">
                  <c:v>March</c:v>
                </c:pt>
                <c:pt idx="52">
                  <c:v>April</c:v>
                </c:pt>
                <c:pt idx="53">
                  <c:v>May</c:v>
                </c:pt>
                <c:pt idx="54">
                  <c:v>June</c:v>
                </c:pt>
              </c:strCache>
            </c:strRef>
          </c:cat>
          <c:val>
            <c:numRef>
              <c:f>'NPV w Mo''ly data chart'!$C$21:$BE$21</c:f>
              <c:numCache>
                <c:formatCode>_(* #,##0_);_(* \(#,##0\);_(* "-"??_);_(@_)</c:formatCode>
                <c:ptCount val="55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8001.0555555555557</c:v>
                </c:pt>
                <c:pt idx="49">
                  <c:v>10143.387096774193</c:v>
                </c:pt>
                <c:pt idx="50">
                  <c:v>11468.535714285714</c:v>
                </c:pt>
                <c:pt idx="51">
                  <c:v>11491.58064516129</c:v>
                </c:pt>
                <c:pt idx="52">
                  <c:v>10493.333333333334</c:v>
                </c:pt>
                <c:pt idx="53">
                  <c:v>10721.608695652174</c:v>
                </c:pt>
                <c:pt idx="54">
                  <c:v>11041.6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8B7-4FD8-A165-9B2E23958F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4875016"/>
        <c:axId val="54487895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'NPV w Mo''ly data chart'!$B$4</c15:sqref>
                        </c15:formulaRef>
                      </c:ext>
                    </c:extLst>
                    <c:strCache>
                      <c:ptCount val="1"/>
                      <c:pt idx="0">
                        <c:v>BRENT 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'NPV w Mo''ly data chart'!$C$2:$BE$3</c15:sqref>
                        </c15:fullRef>
                        <c15:levelRef>
                          <c15:sqref>'NPV w Mo''ly data chart'!$C$2:$BE$2</c15:sqref>
                        </c15:levelRef>
                        <c15:formulaRef>
                          <c15:sqref>'NPV w Mo''ly data chart'!$C$2:$BE$2</c15:sqref>
                        </c15:formulaRef>
                      </c:ext>
                    </c:extLst>
                    <c:strCache>
                      <c:ptCount val="55"/>
                      <c:pt idx="0">
                        <c:v>December</c:v>
                      </c:pt>
                      <c:pt idx="1">
                        <c:v>January</c:v>
                      </c:pt>
                      <c:pt idx="2">
                        <c:v>February</c:v>
                      </c:pt>
                      <c:pt idx="3">
                        <c:v>March</c:v>
                      </c:pt>
                      <c:pt idx="4">
                        <c:v>April</c:v>
                      </c:pt>
                      <c:pt idx="5">
                        <c:v>May</c:v>
                      </c:pt>
                      <c:pt idx="6">
                        <c:v>June</c:v>
                      </c:pt>
                      <c:pt idx="7">
                        <c:v>July</c:v>
                      </c:pt>
                      <c:pt idx="8">
                        <c:v>August</c:v>
                      </c:pt>
                      <c:pt idx="9">
                        <c:v>September</c:v>
                      </c:pt>
                      <c:pt idx="10">
                        <c:v>October</c:v>
                      </c:pt>
                      <c:pt idx="11">
                        <c:v>November</c:v>
                      </c:pt>
                      <c:pt idx="12">
                        <c:v>December</c:v>
                      </c:pt>
                      <c:pt idx="13">
                        <c:v>January</c:v>
                      </c:pt>
                      <c:pt idx="14">
                        <c:v>February</c:v>
                      </c:pt>
                      <c:pt idx="15">
                        <c:v>March</c:v>
                      </c:pt>
                      <c:pt idx="16">
                        <c:v>April</c:v>
                      </c:pt>
                      <c:pt idx="17">
                        <c:v>May</c:v>
                      </c:pt>
                      <c:pt idx="18">
                        <c:v>June</c:v>
                      </c:pt>
                      <c:pt idx="19">
                        <c:v>July</c:v>
                      </c:pt>
                      <c:pt idx="20">
                        <c:v>August</c:v>
                      </c:pt>
                      <c:pt idx="21">
                        <c:v>September</c:v>
                      </c:pt>
                      <c:pt idx="22">
                        <c:v>October</c:v>
                      </c:pt>
                      <c:pt idx="23">
                        <c:v>November</c:v>
                      </c:pt>
                      <c:pt idx="24">
                        <c:v>December</c:v>
                      </c:pt>
                      <c:pt idx="25">
                        <c:v>January</c:v>
                      </c:pt>
                      <c:pt idx="26">
                        <c:v>February</c:v>
                      </c:pt>
                      <c:pt idx="27">
                        <c:v>March</c:v>
                      </c:pt>
                      <c:pt idx="28">
                        <c:v>April</c:v>
                      </c:pt>
                      <c:pt idx="29">
                        <c:v>May</c:v>
                      </c:pt>
                      <c:pt idx="30">
                        <c:v>June</c:v>
                      </c:pt>
                      <c:pt idx="31">
                        <c:v>July</c:v>
                      </c:pt>
                      <c:pt idx="32">
                        <c:v>August</c:v>
                      </c:pt>
                      <c:pt idx="33">
                        <c:v>September</c:v>
                      </c:pt>
                      <c:pt idx="34">
                        <c:v>October</c:v>
                      </c:pt>
                      <c:pt idx="35">
                        <c:v>November</c:v>
                      </c:pt>
                      <c:pt idx="36">
                        <c:v>December</c:v>
                      </c:pt>
                      <c:pt idx="37">
                        <c:v>January</c:v>
                      </c:pt>
                      <c:pt idx="38">
                        <c:v>February</c:v>
                      </c:pt>
                      <c:pt idx="39">
                        <c:v>March</c:v>
                      </c:pt>
                      <c:pt idx="40">
                        <c:v>April</c:v>
                      </c:pt>
                      <c:pt idx="41">
                        <c:v>May</c:v>
                      </c:pt>
                      <c:pt idx="42">
                        <c:v>June</c:v>
                      </c:pt>
                      <c:pt idx="43">
                        <c:v>July</c:v>
                      </c:pt>
                      <c:pt idx="44">
                        <c:v>August</c:v>
                      </c:pt>
                      <c:pt idx="45">
                        <c:v>September</c:v>
                      </c:pt>
                      <c:pt idx="46">
                        <c:v>October</c:v>
                      </c:pt>
                      <c:pt idx="47">
                        <c:v>November</c:v>
                      </c:pt>
                      <c:pt idx="48">
                        <c:v>December</c:v>
                      </c:pt>
                      <c:pt idx="49">
                        <c:v>January</c:v>
                      </c:pt>
                      <c:pt idx="50">
                        <c:v>February</c:v>
                      </c:pt>
                      <c:pt idx="51">
                        <c:v>March</c:v>
                      </c:pt>
                      <c:pt idx="52">
                        <c:v>April</c:v>
                      </c:pt>
                      <c:pt idx="53">
                        <c:v>May</c:v>
                      </c:pt>
                      <c:pt idx="54">
                        <c:v>June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'NPV w Mo''ly data chart'!$C$4:$BE$4</c15:sqref>
                        </c15:formulaRef>
                      </c:ext>
                    </c:extLst>
                    <c:numCache>
                      <c:formatCode>"$"#,##0.00</c:formatCode>
                      <c:ptCount val="55"/>
                      <c:pt idx="0">
                        <c:v>62.34</c:v>
                      </c:pt>
                      <c:pt idx="1">
                        <c:v>47.76</c:v>
                      </c:pt>
                      <c:pt idx="2">
                        <c:v>58.1</c:v>
                      </c:pt>
                      <c:pt idx="3">
                        <c:v>55.89</c:v>
                      </c:pt>
                      <c:pt idx="4">
                        <c:v>59.52</c:v>
                      </c:pt>
                      <c:pt idx="5">
                        <c:v>64.08</c:v>
                      </c:pt>
                      <c:pt idx="6">
                        <c:v>61.48</c:v>
                      </c:pt>
                      <c:pt idx="7">
                        <c:v>56.56</c:v>
                      </c:pt>
                      <c:pt idx="8">
                        <c:v>46.52</c:v>
                      </c:pt>
                      <c:pt idx="9">
                        <c:v>47.62</c:v>
                      </c:pt>
                      <c:pt idx="10">
                        <c:v>48.43</c:v>
                      </c:pt>
                      <c:pt idx="11">
                        <c:v>44.27</c:v>
                      </c:pt>
                      <c:pt idx="12">
                        <c:v>38.01</c:v>
                      </c:pt>
                      <c:pt idx="13">
                        <c:v>30.7</c:v>
                      </c:pt>
                      <c:pt idx="14">
                        <c:v>32.18</c:v>
                      </c:pt>
                      <c:pt idx="15">
                        <c:v>38.21</c:v>
                      </c:pt>
                      <c:pt idx="16">
                        <c:v>41.58</c:v>
                      </c:pt>
                      <c:pt idx="17">
                        <c:v>46.74</c:v>
                      </c:pt>
                      <c:pt idx="18">
                        <c:v>48.25</c:v>
                      </c:pt>
                      <c:pt idx="19">
                        <c:v>44.95</c:v>
                      </c:pt>
                      <c:pt idx="20">
                        <c:v>45.84</c:v>
                      </c:pt>
                      <c:pt idx="21">
                        <c:v>46.57</c:v>
                      </c:pt>
                      <c:pt idx="22">
                        <c:v>49.52</c:v>
                      </c:pt>
                      <c:pt idx="23">
                        <c:v>44.73</c:v>
                      </c:pt>
                      <c:pt idx="24">
                        <c:v>53.31</c:v>
                      </c:pt>
                      <c:pt idx="25">
                        <c:v>54.58</c:v>
                      </c:pt>
                      <c:pt idx="26">
                        <c:v>54.87</c:v>
                      </c:pt>
                      <c:pt idx="27">
                        <c:v>51.59</c:v>
                      </c:pt>
                      <c:pt idx="28">
                        <c:v>52.31</c:v>
                      </c:pt>
                      <c:pt idx="29">
                        <c:v>50.33</c:v>
                      </c:pt>
                      <c:pt idx="30">
                        <c:v>46.37</c:v>
                      </c:pt>
                      <c:pt idx="31">
                        <c:v>48.48</c:v>
                      </c:pt>
                      <c:pt idx="32">
                        <c:v>51.7</c:v>
                      </c:pt>
                      <c:pt idx="33">
                        <c:v>56.15</c:v>
                      </c:pt>
                      <c:pt idx="34">
                        <c:v>57.51</c:v>
                      </c:pt>
                      <c:pt idx="35">
                        <c:v>62.71</c:v>
                      </c:pt>
                      <c:pt idx="36">
                        <c:v>64.37</c:v>
                      </c:pt>
                      <c:pt idx="37">
                        <c:v>69.08</c:v>
                      </c:pt>
                      <c:pt idx="38">
                        <c:v>65.319999999999993</c:v>
                      </c:pt>
                      <c:pt idx="39">
                        <c:v>66.02</c:v>
                      </c:pt>
                      <c:pt idx="40">
                        <c:v>72.11</c:v>
                      </c:pt>
                      <c:pt idx="41">
                        <c:v>76.98</c:v>
                      </c:pt>
                      <c:pt idx="42">
                        <c:v>74.41</c:v>
                      </c:pt>
                      <c:pt idx="43">
                        <c:v>74.25</c:v>
                      </c:pt>
                      <c:pt idx="44">
                        <c:v>72.53</c:v>
                      </c:pt>
                      <c:pt idx="45">
                        <c:v>78.89</c:v>
                      </c:pt>
                      <c:pt idx="46">
                        <c:v>81.03</c:v>
                      </c:pt>
                      <c:pt idx="47">
                        <c:v>64.75</c:v>
                      </c:pt>
                      <c:pt idx="48">
                        <c:v>57.36</c:v>
                      </c:pt>
                      <c:pt idx="49">
                        <c:v>59.41</c:v>
                      </c:pt>
                      <c:pt idx="50">
                        <c:v>63.96</c:v>
                      </c:pt>
                      <c:pt idx="51">
                        <c:v>66.14</c:v>
                      </c:pt>
                      <c:pt idx="52">
                        <c:v>71.23</c:v>
                      </c:pt>
                      <c:pt idx="53">
                        <c:v>71.319999999999993</c:v>
                      </c:pt>
                      <c:pt idx="54">
                        <c:v>64.22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F-C8B7-4FD8-A165-9B2E23958F33}"/>
                  </c:ext>
                </c:extLst>
              </c15:ser>
            </c15:filteredLineSeries>
          </c:ext>
        </c:extLst>
      </c:lineChart>
      <c:catAx>
        <c:axId val="544875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4878952"/>
        <c:crosses val="autoZero"/>
        <c:auto val="1"/>
        <c:lblAlgn val="ctr"/>
        <c:lblOffset val="100"/>
        <c:noMultiLvlLbl val="0"/>
      </c:catAx>
      <c:valAx>
        <c:axId val="544878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4875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3600" b="1"/>
              <a:t>Jack St Malo BSEE Production Data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'NPV w Mo''ly data chart'!$B$5</c:f>
              <c:strCache>
                <c:ptCount val="1"/>
                <c:pt idx="0">
                  <c:v>WR678 PN001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'NPV w Mo''ly data chart'!$C$2:$BE$3</c15:sqref>
                  </c15:fullRef>
                  <c15:levelRef>
                    <c15:sqref>'NPV w Mo''ly data chart'!$C$2:$BE$2</c15:sqref>
                  </c15:levelRef>
                </c:ext>
              </c:extLst>
              <c:f>'NPV w Mo''ly data chart'!$C$2:$BE$2</c:f>
              <c:strCache>
                <c:ptCount val="55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  <c:pt idx="13">
                  <c:v>January</c:v>
                </c:pt>
                <c:pt idx="14">
                  <c:v>February</c:v>
                </c:pt>
                <c:pt idx="15">
                  <c:v>March</c:v>
                </c:pt>
                <c:pt idx="16">
                  <c:v>April</c:v>
                </c:pt>
                <c:pt idx="17">
                  <c:v>May</c:v>
                </c:pt>
                <c:pt idx="18">
                  <c:v>June</c:v>
                </c:pt>
                <c:pt idx="19">
                  <c:v>July</c:v>
                </c:pt>
                <c:pt idx="20">
                  <c:v>August</c:v>
                </c:pt>
                <c:pt idx="21">
                  <c:v>September</c:v>
                </c:pt>
                <c:pt idx="22">
                  <c:v>October</c:v>
                </c:pt>
                <c:pt idx="23">
                  <c:v>November</c:v>
                </c:pt>
                <c:pt idx="24">
                  <c:v>December</c:v>
                </c:pt>
                <c:pt idx="25">
                  <c:v>January</c:v>
                </c:pt>
                <c:pt idx="26">
                  <c:v>February</c:v>
                </c:pt>
                <c:pt idx="27">
                  <c:v>March</c:v>
                </c:pt>
                <c:pt idx="28">
                  <c:v>April</c:v>
                </c:pt>
                <c:pt idx="29">
                  <c:v>May</c:v>
                </c:pt>
                <c:pt idx="30">
                  <c:v>June</c:v>
                </c:pt>
                <c:pt idx="31">
                  <c:v>July</c:v>
                </c:pt>
                <c:pt idx="32">
                  <c:v>August</c:v>
                </c:pt>
                <c:pt idx="33">
                  <c:v>September</c:v>
                </c:pt>
                <c:pt idx="34">
                  <c:v>October</c:v>
                </c:pt>
                <c:pt idx="35">
                  <c:v>November</c:v>
                </c:pt>
                <c:pt idx="36">
                  <c:v>December</c:v>
                </c:pt>
                <c:pt idx="37">
                  <c:v>January</c:v>
                </c:pt>
                <c:pt idx="38">
                  <c:v>February</c:v>
                </c:pt>
                <c:pt idx="39">
                  <c:v>March</c:v>
                </c:pt>
                <c:pt idx="40">
                  <c:v>April</c:v>
                </c:pt>
                <c:pt idx="41">
                  <c:v>May</c:v>
                </c:pt>
                <c:pt idx="42">
                  <c:v>June</c:v>
                </c:pt>
                <c:pt idx="43">
                  <c:v>July</c:v>
                </c:pt>
                <c:pt idx="44">
                  <c:v>August</c:v>
                </c:pt>
                <c:pt idx="45">
                  <c:v>September</c:v>
                </c:pt>
                <c:pt idx="46">
                  <c:v>October</c:v>
                </c:pt>
                <c:pt idx="47">
                  <c:v>November</c:v>
                </c:pt>
                <c:pt idx="48">
                  <c:v>December</c:v>
                </c:pt>
                <c:pt idx="49">
                  <c:v>January</c:v>
                </c:pt>
                <c:pt idx="50">
                  <c:v>February</c:v>
                </c:pt>
                <c:pt idx="51">
                  <c:v>March</c:v>
                </c:pt>
                <c:pt idx="52">
                  <c:v>April</c:v>
                </c:pt>
                <c:pt idx="53">
                  <c:v>May</c:v>
                </c:pt>
                <c:pt idx="54">
                  <c:v>June</c:v>
                </c:pt>
              </c:strCache>
            </c:strRef>
          </c:cat>
          <c:val>
            <c:numRef>
              <c:f>'NPV w Mo''ly data chart'!$C$5:$BE$5</c:f>
              <c:numCache>
                <c:formatCode>_(* #,##0_);_(* \(#,##0\);_(* "-"??_);_(@_)</c:formatCode>
                <c:ptCount val="55"/>
                <c:pt idx="0">
                  <c:v>0</c:v>
                </c:pt>
                <c:pt idx="1">
                  <c:v>7978.3809523809523</c:v>
                </c:pt>
                <c:pt idx="2">
                  <c:v>9853</c:v>
                </c:pt>
                <c:pt idx="3">
                  <c:v>11042.193548387097</c:v>
                </c:pt>
                <c:pt idx="4">
                  <c:v>10748.866666666667</c:v>
                </c:pt>
                <c:pt idx="5">
                  <c:v>10206.612903225807</c:v>
                </c:pt>
                <c:pt idx="6">
                  <c:v>10205.5</c:v>
                </c:pt>
                <c:pt idx="7">
                  <c:v>10089.380952380952</c:v>
                </c:pt>
                <c:pt idx="8">
                  <c:v>9485.5483870967746</c:v>
                </c:pt>
                <c:pt idx="9">
                  <c:v>9431.9333333333325</c:v>
                </c:pt>
                <c:pt idx="10">
                  <c:v>8844.5161290322576</c:v>
                </c:pt>
                <c:pt idx="11">
                  <c:v>7649.8888888888887</c:v>
                </c:pt>
                <c:pt idx="12">
                  <c:v>8007.6451612903229</c:v>
                </c:pt>
                <c:pt idx="13">
                  <c:v>8039.8064516129034</c:v>
                </c:pt>
                <c:pt idx="14">
                  <c:v>7953.0689655172409</c:v>
                </c:pt>
                <c:pt idx="15">
                  <c:v>8173.9032258064517</c:v>
                </c:pt>
                <c:pt idx="16">
                  <c:v>7626.2666666666664</c:v>
                </c:pt>
                <c:pt idx="17">
                  <c:v>7860.8709677419356</c:v>
                </c:pt>
                <c:pt idx="18">
                  <c:v>7935.2333333333336</c:v>
                </c:pt>
                <c:pt idx="19">
                  <c:v>6824.0645161290322</c:v>
                </c:pt>
                <c:pt idx="20">
                  <c:v>6681.4516129032254</c:v>
                </c:pt>
                <c:pt idx="21">
                  <c:v>6531.6333333333332</c:v>
                </c:pt>
                <c:pt idx="22">
                  <c:v>6117.8064516129034</c:v>
                </c:pt>
                <c:pt idx="23">
                  <c:v>6007.2857142857147</c:v>
                </c:pt>
                <c:pt idx="24">
                  <c:v>6240.5483870967746</c:v>
                </c:pt>
                <c:pt idx="25">
                  <c:v>6038.0967741935483</c:v>
                </c:pt>
                <c:pt idx="26">
                  <c:v>5927.4642857142853</c:v>
                </c:pt>
                <c:pt idx="27">
                  <c:v>6011.9032258064517</c:v>
                </c:pt>
                <c:pt idx="28">
                  <c:v>6013.4</c:v>
                </c:pt>
                <c:pt idx="29">
                  <c:v>5647.1935483870966</c:v>
                </c:pt>
                <c:pt idx="30">
                  <c:v>5935.5</c:v>
                </c:pt>
                <c:pt idx="31">
                  <c:v>6113.8709677419356</c:v>
                </c:pt>
                <c:pt idx="32">
                  <c:v>5631.6129032258068</c:v>
                </c:pt>
                <c:pt idx="33">
                  <c:v>6224.0333333333338</c:v>
                </c:pt>
                <c:pt idx="34">
                  <c:v>5683.1785714285716</c:v>
                </c:pt>
                <c:pt idx="35">
                  <c:v>5987.3</c:v>
                </c:pt>
                <c:pt idx="36">
                  <c:v>6092.5806451612907</c:v>
                </c:pt>
                <c:pt idx="37">
                  <c:v>5944.6451612903229</c:v>
                </c:pt>
                <c:pt idx="38">
                  <c:v>6072.0357142857147</c:v>
                </c:pt>
                <c:pt idx="39">
                  <c:v>6044.9354838709678</c:v>
                </c:pt>
                <c:pt idx="40">
                  <c:v>5611.7666666666664</c:v>
                </c:pt>
                <c:pt idx="41">
                  <c:v>6176.1935483870966</c:v>
                </c:pt>
                <c:pt idx="42">
                  <c:v>6002.5666666666666</c:v>
                </c:pt>
                <c:pt idx="43">
                  <c:v>6444.4838709677415</c:v>
                </c:pt>
                <c:pt idx="44">
                  <c:v>6884.9032258064517</c:v>
                </c:pt>
                <c:pt idx="45">
                  <c:v>6609.666666666667</c:v>
                </c:pt>
                <c:pt idx="46">
                  <c:v>6472.8064516129034</c:v>
                </c:pt>
                <c:pt idx="47">
                  <c:v>5804.6896551724139</c:v>
                </c:pt>
                <c:pt idx="48">
                  <c:v>5995.0967741935483</c:v>
                </c:pt>
                <c:pt idx="49">
                  <c:v>5995.2258064516127</c:v>
                </c:pt>
                <c:pt idx="50">
                  <c:v>5705.2857142857147</c:v>
                </c:pt>
                <c:pt idx="51">
                  <c:v>5507.4838709677415</c:v>
                </c:pt>
                <c:pt idx="52">
                  <c:v>5643.9</c:v>
                </c:pt>
                <c:pt idx="53">
                  <c:v>5442.727272727273</c:v>
                </c:pt>
                <c:pt idx="54">
                  <c:v>5243.4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7F-405D-BE05-256CA7A8472B}"/>
            </c:ext>
          </c:extLst>
        </c:ser>
        <c:ser>
          <c:idx val="2"/>
          <c:order val="2"/>
          <c:tx>
            <c:strRef>
              <c:f>'NPV w Mo''ly data chart'!$B$6</c:f>
              <c:strCache>
                <c:ptCount val="1"/>
                <c:pt idx="0">
                  <c:v>WR678 PN002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'NPV w Mo''ly data chart'!$C$2:$BE$3</c15:sqref>
                  </c15:fullRef>
                  <c15:levelRef>
                    <c15:sqref>'NPV w Mo''ly data chart'!$C$2:$BE$2</c15:sqref>
                  </c15:levelRef>
                </c:ext>
              </c:extLst>
              <c:f>'NPV w Mo''ly data chart'!$C$2:$BE$2</c:f>
              <c:strCache>
                <c:ptCount val="55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  <c:pt idx="13">
                  <c:v>January</c:v>
                </c:pt>
                <c:pt idx="14">
                  <c:v>February</c:v>
                </c:pt>
                <c:pt idx="15">
                  <c:v>March</c:v>
                </c:pt>
                <c:pt idx="16">
                  <c:v>April</c:v>
                </c:pt>
                <c:pt idx="17">
                  <c:v>May</c:v>
                </c:pt>
                <c:pt idx="18">
                  <c:v>June</c:v>
                </c:pt>
                <c:pt idx="19">
                  <c:v>July</c:v>
                </c:pt>
                <c:pt idx="20">
                  <c:v>August</c:v>
                </c:pt>
                <c:pt idx="21">
                  <c:v>September</c:v>
                </c:pt>
                <c:pt idx="22">
                  <c:v>October</c:v>
                </c:pt>
                <c:pt idx="23">
                  <c:v>November</c:v>
                </c:pt>
                <c:pt idx="24">
                  <c:v>December</c:v>
                </c:pt>
                <c:pt idx="25">
                  <c:v>January</c:v>
                </c:pt>
                <c:pt idx="26">
                  <c:v>February</c:v>
                </c:pt>
                <c:pt idx="27">
                  <c:v>March</c:v>
                </c:pt>
                <c:pt idx="28">
                  <c:v>April</c:v>
                </c:pt>
                <c:pt idx="29">
                  <c:v>May</c:v>
                </c:pt>
                <c:pt idx="30">
                  <c:v>June</c:v>
                </c:pt>
                <c:pt idx="31">
                  <c:v>July</c:v>
                </c:pt>
                <c:pt idx="32">
                  <c:v>August</c:v>
                </c:pt>
                <c:pt idx="33">
                  <c:v>September</c:v>
                </c:pt>
                <c:pt idx="34">
                  <c:v>October</c:v>
                </c:pt>
                <c:pt idx="35">
                  <c:v>November</c:v>
                </c:pt>
                <c:pt idx="36">
                  <c:v>December</c:v>
                </c:pt>
                <c:pt idx="37">
                  <c:v>January</c:v>
                </c:pt>
                <c:pt idx="38">
                  <c:v>February</c:v>
                </c:pt>
                <c:pt idx="39">
                  <c:v>March</c:v>
                </c:pt>
                <c:pt idx="40">
                  <c:v>April</c:v>
                </c:pt>
                <c:pt idx="41">
                  <c:v>May</c:v>
                </c:pt>
                <c:pt idx="42">
                  <c:v>June</c:v>
                </c:pt>
                <c:pt idx="43">
                  <c:v>July</c:v>
                </c:pt>
                <c:pt idx="44">
                  <c:v>August</c:v>
                </c:pt>
                <c:pt idx="45">
                  <c:v>September</c:v>
                </c:pt>
                <c:pt idx="46">
                  <c:v>October</c:v>
                </c:pt>
                <c:pt idx="47">
                  <c:v>November</c:v>
                </c:pt>
                <c:pt idx="48">
                  <c:v>December</c:v>
                </c:pt>
                <c:pt idx="49">
                  <c:v>January</c:v>
                </c:pt>
                <c:pt idx="50">
                  <c:v>February</c:v>
                </c:pt>
                <c:pt idx="51">
                  <c:v>March</c:v>
                </c:pt>
                <c:pt idx="52">
                  <c:v>April</c:v>
                </c:pt>
                <c:pt idx="53">
                  <c:v>May</c:v>
                </c:pt>
                <c:pt idx="54">
                  <c:v>June</c:v>
                </c:pt>
              </c:strCache>
            </c:strRef>
          </c:cat>
          <c:val>
            <c:numRef>
              <c:f>'NPV w Mo''ly data chart'!$C$6:$BE$6</c:f>
              <c:numCache>
                <c:formatCode>_(* #,##0_);_(* \(#,##0\);_(* "-"??_);_(@_)</c:formatCode>
                <c:ptCount val="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10735.181818181818</c:v>
                </c:pt>
                <c:pt idx="19">
                  <c:v>12157.451612903225</c:v>
                </c:pt>
                <c:pt idx="20">
                  <c:v>12217.709677419354</c:v>
                </c:pt>
                <c:pt idx="21">
                  <c:v>12712.4</c:v>
                </c:pt>
                <c:pt idx="22">
                  <c:v>12919.225806451614</c:v>
                </c:pt>
                <c:pt idx="23">
                  <c:v>12136.620689655172</c:v>
                </c:pt>
                <c:pt idx="24">
                  <c:v>13452.58064516129</c:v>
                </c:pt>
                <c:pt idx="25">
                  <c:v>13748.516129032258</c:v>
                </c:pt>
                <c:pt idx="26">
                  <c:v>13450.607142857143</c:v>
                </c:pt>
                <c:pt idx="27">
                  <c:v>13546.645161290322</c:v>
                </c:pt>
                <c:pt idx="28">
                  <c:v>13789.933333333332</c:v>
                </c:pt>
                <c:pt idx="29">
                  <c:v>14013.193548387097</c:v>
                </c:pt>
                <c:pt idx="30">
                  <c:v>13047.066666666668</c:v>
                </c:pt>
                <c:pt idx="31">
                  <c:v>12882.793103448275</c:v>
                </c:pt>
                <c:pt idx="32">
                  <c:v>13779.387096774193</c:v>
                </c:pt>
                <c:pt idx="33">
                  <c:v>14085.6</c:v>
                </c:pt>
                <c:pt idx="34">
                  <c:v>12918.964285714286</c:v>
                </c:pt>
                <c:pt idx="35">
                  <c:v>12466.4</c:v>
                </c:pt>
                <c:pt idx="36">
                  <c:v>12300</c:v>
                </c:pt>
                <c:pt idx="37">
                  <c:v>10760.516129032258</c:v>
                </c:pt>
                <c:pt idx="38">
                  <c:v>11741.5</c:v>
                </c:pt>
                <c:pt idx="39">
                  <c:v>12196.193548387097</c:v>
                </c:pt>
                <c:pt idx="40">
                  <c:v>11852.933333333332</c:v>
                </c:pt>
                <c:pt idx="41">
                  <c:v>14074.741935483871</c:v>
                </c:pt>
                <c:pt idx="42">
                  <c:v>14738</c:v>
                </c:pt>
                <c:pt idx="43">
                  <c:v>13706.483870967742</c:v>
                </c:pt>
                <c:pt idx="44">
                  <c:v>14082.354838709678</c:v>
                </c:pt>
                <c:pt idx="45">
                  <c:v>13682.1</c:v>
                </c:pt>
                <c:pt idx="46">
                  <c:v>13263.354838709678</c:v>
                </c:pt>
                <c:pt idx="47">
                  <c:v>13000.241379310344</c:v>
                </c:pt>
                <c:pt idx="48">
                  <c:v>12791.838709677419</c:v>
                </c:pt>
                <c:pt idx="49">
                  <c:v>13090.935483870968</c:v>
                </c:pt>
                <c:pt idx="50">
                  <c:v>12612.464285714286</c:v>
                </c:pt>
                <c:pt idx="51">
                  <c:v>12384.225806451614</c:v>
                </c:pt>
                <c:pt idx="52">
                  <c:v>12150.266666666666</c:v>
                </c:pt>
                <c:pt idx="53">
                  <c:v>12073.363636363636</c:v>
                </c:pt>
                <c:pt idx="54">
                  <c:v>11911.433333333332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7F-405D-BE05-256CA7A8472B}"/>
            </c:ext>
          </c:extLst>
        </c:ser>
        <c:ser>
          <c:idx val="3"/>
          <c:order val="3"/>
          <c:tx>
            <c:strRef>
              <c:f>'NPV w Mo''ly data chart'!$B$7</c:f>
              <c:strCache>
                <c:ptCount val="1"/>
                <c:pt idx="0">
                  <c:v>WR678 PS001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'NPV w Mo''ly data chart'!$C$2:$BE$3</c15:sqref>
                  </c15:fullRef>
                  <c15:levelRef>
                    <c15:sqref>'NPV w Mo''ly data chart'!$C$2:$BE$2</c15:sqref>
                  </c15:levelRef>
                </c:ext>
              </c:extLst>
              <c:f>'NPV w Mo''ly data chart'!$C$2:$BE$2</c:f>
              <c:strCache>
                <c:ptCount val="55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  <c:pt idx="13">
                  <c:v>January</c:v>
                </c:pt>
                <c:pt idx="14">
                  <c:v>February</c:v>
                </c:pt>
                <c:pt idx="15">
                  <c:v>March</c:v>
                </c:pt>
                <c:pt idx="16">
                  <c:v>April</c:v>
                </c:pt>
                <c:pt idx="17">
                  <c:v>May</c:v>
                </c:pt>
                <c:pt idx="18">
                  <c:v>June</c:v>
                </c:pt>
                <c:pt idx="19">
                  <c:v>July</c:v>
                </c:pt>
                <c:pt idx="20">
                  <c:v>August</c:v>
                </c:pt>
                <c:pt idx="21">
                  <c:v>September</c:v>
                </c:pt>
                <c:pt idx="22">
                  <c:v>October</c:v>
                </c:pt>
                <c:pt idx="23">
                  <c:v>November</c:v>
                </c:pt>
                <c:pt idx="24">
                  <c:v>December</c:v>
                </c:pt>
                <c:pt idx="25">
                  <c:v>January</c:v>
                </c:pt>
                <c:pt idx="26">
                  <c:v>February</c:v>
                </c:pt>
                <c:pt idx="27">
                  <c:v>March</c:v>
                </c:pt>
                <c:pt idx="28">
                  <c:v>April</c:v>
                </c:pt>
                <c:pt idx="29">
                  <c:v>May</c:v>
                </c:pt>
                <c:pt idx="30">
                  <c:v>June</c:v>
                </c:pt>
                <c:pt idx="31">
                  <c:v>July</c:v>
                </c:pt>
                <c:pt idx="32">
                  <c:v>August</c:v>
                </c:pt>
                <c:pt idx="33">
                  <c:v>September</c:v>
                </c:pt>
                <c:pt idx="34">
                  <c:v>October</c:v>
                </c:pt>
                <c:pt idx="35">
                  <c:v>November</c:v>
                </c:pt>
                <c:pt idx="36">
                  <c:v>December</c:v>
                </c:pt>
                <c:pt idx="37">
                  <c:v>January</c:v>
                </c:pt>
                <c:pt idx="38">
                  <c:v>February</c:v>
                </c:pt>
                <c:pt idx="39">
                  <c:v>March</c:v>
                </c:pt>
                <c:pt idx="40">
                  <c:v>April</c:v>
                </c:pt>
                <c:pt idx="41">
                  <c:v>May</c:v>
                </c:pt>
                <c:pt idx="42">
                  <c:v>June</c:v>
                </c:pt>
                <c:pt idx="43">
                  <c:v>July</c:v>
                </c:pt>
                <c:pt idx="44">
                  <c:v>August</c:v>
                </c:pt>
                <c:pt idx="45">
                  <c:v>September</c:v>
                </c:pt>
                <c:pt idx="46">
                  <c:v>October</c:v>
                </c:pt>
                <c:pt idx="47">
                  <c:v>November</c:v>
                </c:pt>
                <c:pt idx="48">
                  <c:v>December</c:v>
                </c:pt>
                <c:pt idx="49">
                  <c:v>January</c:v>
                </c:pt>
                <c:pt idx="50">
                  <c:v>February</c:v>
                </c:pt>
                <c:pt idx="51">
                  <c:v>March</c:v>
                </c:pt>
                <c:pt idx="52">
                  <c:v>April</c:v>
                </c:pt>
                <c:pt idx="53">
                  <c:v>May</c:v>
                </c:pt>
                <c:pt idx="54">
                  <c:v>June</c:v>
                </c:pt>
              </c:strCache>
            </c:strRef>
          </c:cat>
          <c:val>
            <c:numRef>
              <c:f>'NPV w Mo''ly data chart'!$C$7:$BE$7</c:f>
              <c:numCache>
                <c:formatCode>_(* #,##0_);_(* \(#,##0\);_(* "-"??_);_(@_)</c:formatCode>
                <c:ptCount val="55"/>
                <c:pt idx="0">
                  <c:v>0</c:v>
                </c:pt>
                <c:pt idx="1">
                  <c:v>0</c:v>
                </c:pt>
                <c:pt idx="2">
                  <c:v>7469.3076923076924</c:v>
                </c:pt>
                <c:pt idx="3">
                  <c:v>12378.08695652174</c:v>
                </c:pt>
                <c:pt idx="4">
                  <c:v>14088.1</c:v>
                </c:pt>
                <c:pt idx="5">
                  <c:v>14288</c:v>
                </c:pt>
                <c:pt idx="6">
                  <c:v>14811.2</c:v>
                </c:pt>
                <c:pt idx="7">
                  <c:v>13649.565217391304</c:v>
                </c:pt>
                <c:pt idx="8">
                  <c:v>14241.354838709678</c:v>
                </c:pt>
                <c:pt idx="9">
                  <c:v>12185.666666666666</c:v>
                </c:pt>
                <c:pt idx="10">
                  <c:v>13999.806451612903</c:v>
                </c:pt>
                <c:pt idx="11">
                  <c:v>13123.962962962964</c:v>
                </c:pt>
                <c:pt idx="12">
                  <c:v>15223.967741935483</c:v>
                </c:pt>
                <c:pt idx="13">
                  <c:v>15165.645161290322</c:v>
                </c:pt>
                <c:pt idx="14">
                  <c:v>15046.413793103447</c:v>
                </c:pt>
                <c:pt idx="15">
                  <c:v>15561.58064516129</c:v>
                </c:pt>
                <c:pt idx="16">
                  <c:v>14940.933333333332</c:v>
                </c:pt>
                <c:pt idx="17">
                  <c:v>15449.225806451614</c:v>
                </c:pt>
                <c:pt idx="18">
                  <c:v>15112.166666666666</c:v>
                </c:pt>
                <c:pt idx="19">
                  <c:v>14166.645161290322</c:v>
                </c:pt>
                <c:pt idx="20">
                  <c:v>12013.032258064517</c:v>
                </c:pt>
                <c:pt idx="21">
                  <c:v>12185.666666666666</c:v>
                </c:pt>
                <c:pt idx="22">
                  <c:v>12797.161290322581</c:v>
                </c:pt>
                <c:pt idx="23">
                  <c:v>11064.964285714286</c:v>
                </c:pt>
                <c:pt idx="24">
                  <c:v>13035.193548387097</c:v>
                </c:pt>
                <c:pt idx="25">
                  <c:v>12583.451612903225</c:v>
                </c:pt>
                <c:pt idx="26">
                  <c:v>12645.25</c:v>
                </c:pt>
                <c:pt idx="27">
                  <c:v>12377.451612903225</c:v>
                </c:pt>
                <c:pt idx="28">
                  <c:v>12714.666666666666</c:v>
                </c:pt>
                <c:pt idx="29">
                  <c:v>11766.548387096775</c:v>
                </c:pt>
                <c:pt idx="30">
                  <c:v>12007.3</c:v>
                </c:pt>
                <c:pt idx="31">
                  <c:v>11868.741935483871</c:v>
                </c:pt>
                <c:pt idx="32">
                  <c:v>10769.838709677419</c:v>
                </c:pt>
                <c:pt idx="33">
                  <c:v>11402.2</c:v>
                </c:pt>
                <c:pt idx="34">
                  <c:v>10808.464285714286</c:v>
                </c:pt>
                <c:pt idx="35">
                  <c:v>11285.766666666666</c:v>
                </c:pt>
                <c:pt idx="36">
                  <c:v>11324.193548387097</c:v>
                </c:pt>
                <c:pt idx="37">
                  <c:v>9934.354838709678</c:v>
                </c:pt>
                <c:pt idx="38">
                  <c:v>10662.5</c:v>
                </c:pt>
                <c:pt idx="39">
                  <c:v>10583.677419354839</c:v>
                </c:pt>
                <c:pt idx="40">
                  <c:v>9562.9666666666672</c:v>
                </c:pt>
                <c:pt idx="41">
                  <c:v>10663.354838709678</c:v>
                </c:pt>
                <c:pt idx="42">
                  <c:v>10759.1</c:v>
                </c:pt>
                <c:pt idx="43">
                  <c:v>11406.41935483871</c:v>
                </c:pt>
                <c:pt idx="44">
                  <c:v>11492.096774193549</c:v>
                </c:pt>
                <c:pt idx="45">
                  <c:v>11112.433333333332</c:v>
                </c:pt>
                <c:pt idx="46">
                  <c:v>9555.1612903225814</c:v>
                </c:pt>
                <c:pt idx="47">
                  <c:v>11804.344827586207</c:v>
                </c:pt>
                <c:pt idx="48">
                  <c:v>11292.451612903225</c:v>
                </c:pt>
                <c:pt idx="49">
                  <c:v>11371.064516129032</c:v>
                </c:pt>
                <c:pt idx="50">
                  <c:v>10906.607142857143</c:v>
                </c:pt>
                <c:pt idx="51">
                  <c:v>10545.064516129032</c:v>
                </c:pt>
                <c:pt idx="52">
                  <c:v>10741.6</c:v>
                </c:pt>
                <c:pt idx="53">
                  <c:v>10606.681818181818</c:v>
                </c:pt>
                <c:pt idx="54">
                  <c:v>10697.566666666668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F7F-405D-BE05-256CA7A8472B}"/>
            </c:ext>
          </c:extLst>
        </c:ser>
        <c:ser>
          <c:idx val="4"/>
          <c:order val="4"/>
          <c:tx>
            <c:strRef>
              <c:f>'NPV w Mo''ly data chart'!$B$8</c:f>
              <c:strCache>
                <c:ptCount val="1"/>
                <c:pt idx="0">
                  <c:v> WR678 PS002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'NPV w Mo''ly data chart'!$C$2:$BE$3</c15:sqref>
                  </c15:fullRef>
                  <c15:levelRef>
                    <c15:sqref>'NPV w Mo''ly data chart'!$C$2:$BE$2</c15:sqref>
                  </c15:levelRef>
                </c:ext>
              </c:extLst>
              <c:f>'NPV w Mo''ly data chart'!$C$2:$BE$2</c:f>
              <c:strCache>
                <c:ptCount val="55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  <c:pt idx="13">
                  <c:v>January</c:v>
                </c:pt>
                <c:pt idx="14">
                  <c:v>February</c:v>
                </c:pt>
                <c:pt idx="15">
                  <c:v>March</c:v>
                </c:pt>
                <c:pt idx="16">
                  <c:v>April</c:v>
                </c:pt>
                <c:pt idx="17">
                  <c:v>May</c:v>
                </c:pt>
                <c:pt idx="18">
                  <c:v>June</c:v>
                </c:pt>
                <c:pt idx="19">
                  <c:v>July</c:v>
                </c:pt>
                <c:pt idx="20">
                  <c:v>August</c:v>
                </c:pt>
                <c:pt idx="21">
                  <c:v>September</c:v>
                </c:pt>
                <c:pt idx="22">
                  <c:v>October</c:v>
                </c:pt>
                <c:pt idx="23">
                  <c:v>November</c:v>
                </c:pt>
                <c:pt idx="24">
                  <c:v>December</c:v>
                </c:pt>
                <c:pt idx="25">
                  <c:v>January</c:v>
                </c:pt>
                <c:pt idx="26">
                  <c:v>February</c:v>
                </c:pt>
                <c:pt idx="27">
                  <c:v>March</c:v>
                </c:pt>
                <c:pt idx="28">
                  <c:v>April</c:v>
                </c:pt>
                <c:pt idx="29">
                  <c:v>May</c:v>
                </c:pt>
                <c:pt idx="30">
                  <c:v>June</c:v>
                </c:pt>
                <c:pt idx="31">
                  <c:v>July</c:v>
                </c:pt>
                <c:pt idx="32">
                  <c:v>August</c:v>
                </c:pt>
                <c:pt idx="33">
                  <c:v>September</c:v>
                </c:pt>
                <c:pt idx="34">
                  <c:v>October</c:v>
                </c:pt>
                <c:pt idx="35">
                  <c:v>November</c:v>
                </c:pt>
                <c:pt idx="36">
                  <c:v>December</c:v>
                </c:pt>
                <c:pt idx="37">
                  <c:v>January</c:v>
                </c:pt>
                <c:pt idx="38">
                  <c:v>February</c:v>
                </c:pt>
                <c:pt idx="39">
                  <c:v>March</c:v>
                </c:pt>
                <c:pt idx="40">
                  <c:v>April</c:v>
                </c:pt>
                <c:pt idx="41">
                  <c:v>May</c:v>
                </c:pt>
                <c:pt idx="42">
                  <c:v>June</c:v>
                </c:pt>
                <c:pt idx="43">
                  <c:v>July</c:v>
                </c:pt>
                <c:pt idx="44">
                  <c:v>August</c:v>
                </c:pt>
                <c:pt idx="45">
                  <c:v>September</c:v>
                </c:pt>
                <c:pt idx="46">
                  <c:v>October</c:v>
                </c:pt>
                <c:pt idx="47">
                  <c:v>November</c:v>
                </c:pt>
                <c:pt idx="48">
                  <c:v>December</c:v>
                </c:pt>
                <c:pt idx="49">
                  <c:v>January</c:v>
                </c:pt>
                <c:pt idx="50">
                  <c:v>February</c:v>
                </c:pt>
                <c:pt idx="51">
                  <c:v>March</c:v>
                </c:pt>
                <c:pt idx="52">
                  <c:v>April</c:v>
                </c:pt>
                <c:pt idx="53">
                  <c:v>May</c:v>
                </c:pt>
                <c:pt idx="54">
                  <c:v>June</c:v>
                </c:pt>
              </c:strCache>
            </c:strRef>
          </c:cat>
          <c:val>
            <c:numRef>
              <c:f>'NPV w Mo''ly data chart'!$C$8:$BE$8</c:f>
              <c:numCache>
                <c:formatCode>_(* #,##0_);_(* \(#,##0\);_(* "-"??_);_(@_)</c:formatCode>
                <c:ptCount val="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10479.736842105263</c:v>
                </c:pt>
                <c:pt idx="30">
                  <c:v>12531.266666666666</c:v>
                </c:pt>
                <c:pt idx="31">
                  <c:v>12908.774193548386</c:v>
                </c:pt>
                <c:pt idx="32">
                  <c:v>14318.58064516129</c:v>
                </c:pt>
                <c:pt idx="33">
                  <c:v>16364.433333333332</c:v>
                </c:pt>
                <c:pt idx="34">
                  <c:v>15496.428571428571</c:v>
                </c:pt>
                <c:pt idx="35">
                  <c:v>17156.666666666668</c:v>
                </c:pt>
                <c:pt idx="36">
                  <c:v>17079.096774193549</c:v>
                </c:pt>
                <c:pt idx="37">
                  <c:v>16928.258064516129</c:v>
                </c:pt>
                <c:pt idx="38">
                  <c:v>17009.25</c:v>
                </c:pt>
                <c:pt idx="39">
                  <c:v>17826.741935483871</c:v>
                </c:pt>
                <c:pt idx="40">
                  <c:v>16499.733333333334</c:v>
                </c:pt>
                <c:pt idx="41">
                  <c:v>18527.645161290322</c:v>
                </c:pt>
                <c:pt idx="42">
                  <c:v>17170.166666666668</c:v>
                </c:pt>
                <c:pt idx="43">
                  <c:v>18635.032258064515</c:v>
                </c:pt>
                <c:pt idx="44">
                  <c:v>19009.322580645163</c:v>
                </c:pt>
                <c:pt idx="45">
                  <c:v>18433.766666666666</c:v>
                </c:pt>
                <c:pt idx="46">
                  <c:v>18250.548387096773</c:v>
                </c:pt>
                <c:pt idx="47">
                  <c:v>17447.724137931036</c:v>
                </c:pt>
                <c:pt idx="48">
                  <c:v>17809.677419354837</c:v>
                </c:pt>
                <c:pt idx="49">
                  <c:v>17628.290322580644</c:v>
                </c:pt>
                <c:pt idx="50">
                  <c:v>17297.785714285714</c:v>
                </c:pt>
                <c:pt idx="51">
                  <c:v>16918.741935483871</c:v>
                </c:pt>
                <c:pt idx="52">
                  <c:v>16847.7</c:v>
                </c:pt>
                <c:pt idx="53">
                  <c:v>15988.272727272728</c:v>
                </c:pt>
                <c:pt idx="54">
                  <c:v>15964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F7F-405D-BE05-256CA7A8472B}"/>
            </c:ext>
          </c:extLst>
        </c:ser>
        <c:ser>
          <c:idx val="5"/>
          <c:order val="5"/>
          <c:tx>
            <c:strRef>
              <c:f>'NPV w Mo''ly data chart'!$B$9</c:f>
              <c:strCache>
                <c:ptCount val="1"/>
                <c:pt idx="0">
                  <c:v>WR678 PS003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'NPV w Mo''ly data chart'!$C$2:$BE$3</c15:sqref>
                  </c15:fullRef>
                  <c15:levelRef>
                    <c15:sqref>'NPV w Mo''ly data chart'!$C$2:$BE$2</c15:sqref>
                  </c15:levelRef>
                </c:ext>
              </c:extLst>
              <c:f>'NPV w Mo''ly data chart'!$C$2:$BE$2</c:f>
              <c:strCache>
                <c:ptCount val="55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  <c:pt idx="13">
                  <c:v>January</c:v>
                </c:pt>
                <c:pt idx="14">
                  <c:v>February</c:v>
                </c:pt>
                <c:pt idx="15">
                  <c:v>March</c:v>
                </c:pt>
                <c:pt idx="16">
                  <c:v>April</c:v>
                </c:pt>
                <c:pt idx="17">
                  <c:v>May</c:v>
                </c:pt>
                <c:pt idx="18">
                  <c:v>June</c:v>
                </c:pt>
                <c:pt idx="19">
                  <c:v>July</c:v>
                </c:pt>
                <c:pt idx="20">
                  <c:v>August</c:v>
                </c:pt>
                <c:pt idx="21">
                  <c:v>September</c:v>
                </c:pt>
                <c:pt idx="22">
                  <c:v>October</c:v>
                </c:pt>
                <c:pt idx="23">
                  <c:v>November</c:v>
                </c:pt>
                <c:pt idx="24">
                  <c:v>December</c:v>
                </c:pt>
                <c:pt idx="25">
                  <c:v>January</c:v>
                </c:pt>
                <c:pt idx="26">
                  <c:v>February</c:v>
                </c:pt>
                <c:pt idx="27">
                  <c:v>March</c:v>
                </c:pt>
                <c:pt idx="28">
                  <c:v>April</c:v>
                </c:pt>
                <c:pt idx="29">
                  <c:v>May</c:v>
                </c:pt>
                <c:pt idx="30">
                  <c:v>June</c:v>
                </c:pt>
                <c:pt idx="31">
                  <c:v>July</c:v>
                </c:pt>
                <c:pt idx="32">
                  <c:v>August</c:v>
                </c:pt>
                <c:pt idx="33">
                  <c:v>September</c:v>
                </c:pt>
                <c:pt idx="34">
                  <c:v>October</c:v>
                </c:pt>
                <c:pt idx="35">
                  <c:v>November</c:v>
                </c:pt>
                <c:pt idx="36">
                  <c:v>December</c:v>
                </c:pt>
                <c:pt idx="37">
                  <c:v>January</c:v>
                </c:pt>
                <c:pt idx="38">
                  <c:v>February</c:v>
                </c:pt>
                <c:pt idx="39">
                  <c:v>March</c:v>
                </c:pt>
                <c:pt idx="40">
                  <c:v>April</c:v>
                </c:pt>
                <c:pt idx="41">
                  <c:v>May</c:v>
                </c:pt>
                <c:pt idx="42">
                  <c:v>June</c:v>
                </c:pt>
                <c:pt idx="43">
                  <c:v>July</c:v>
                </c:pt>
                <c:pt idx="44">
                  <c:v>August</c:v>
                </c:pt>
                <c:pt idx="45">
                  <c:v>September</c:v>
                </c:pt>
                <c:pt idx="46">
                  <c:v>October</c:v>
                </c:pt>
                <c:pt idx="47">
                  <c:v>November</c:v>
                </c:pt>
                <c:pt idx="48">
                  <c:v>December</c:v>
                </c:pt>
                <c:pt idx="49">
                  <c:v>January</c:v>
                </c:pt>
                <c:pt idx="50">
                  <c:v>February</c:v>
                </c:pt>
                <c:pt idx="51">
                  <c:v>March</c:v>
                </c:pt>
                <c:pt idx="52">
                  <c:v>April</c:v>
                </c:pt>
                <c:pt idx="53">
                  <c:v>May</c:v>
                </c:pt>
                <c:pt idx="54">
                  <c:v>June</c:v>
                </c:pt>
              </c:strCache>
            </c:strRef>
          </c:cat>
          <c:val>
            <c:numRef>
              <c:f>'NPV w Mo''ly data chart'!$C$9:$BE$9</c:f>
              <c:numCache>
                <c:formatCode>_(* #,##0_);_(* \(#,##0\);_(* "-"??_);_(@_)</c:formatCode>
                <c:ptCount val="55"/>
                <c:pt idx="0">
                  <c:v>9226.8571428571431</c:v>
                </c:pt>
                <c:pt idx="1">
                  <c:v>12173.925925925925</c:v>
                </c:pt>
                <c:pt idx="2">
                  <c:v>12820.75</c:v>
                </c:pt>
                <c:pt idx="3">
                  <c:v>14112.806451612903</c:v>
                </c:pt>
                <c:pt idx="4">
                  <c:v>14341.166666666666</c:v>
                </c:pt>
                <c:pt idx="5">
                  <c:v>13935.258064516129</c:v>
                </c:pt>
                <c:pt idx="6">
                  <c:v>14505.566666666668</c:v>
                </c:pt>
                <c:pt idx="7">
                  <c:v>13634.347826086956</c:v>
                </c:pt>
                <c:pt idx="8">
                  <c:v>14141.483870967742</c:v>
                </c:pt>
                <c:pt idx="9">
                  <c:v>13667</c:v>
                </c:pt>
                <c:pt idx="10">
                  <c:v>13380.161290322581</c:v>
                </c:pt>
                <c:pt idx="11">
                  <c:v>12637.925925925925</c:v>
                </c:pt>
                <c:pt idx="12">
                  <c:v>13894.806451612903</c:v>
                </c:pt>
                <c:pt idx="13">
                  <c:v>13609.354838709678</c:v>
                </c:pt>
                <c:pt idx="14">
                  <c:v>13639.310344827587</c:v>
                </c:pt>
                <c:pt idx="15">
                  <c:v>13326.903225806451</c:v>
                </c:pt>
                <c:pt idx="16">
                  <c:v>12380.033333333333</c:v>
                </c:pt>
                <c:pt idx="17">
                  <c:v>12852.677419354839</c:v>
                </c:pt>
                <c:pt idx="18">
                  <c:v>12662.833333333334</c:v>
                </c:pt>
                <c:pt idx="19">
                  <c:v>11765.41935483871</c:v>
                </c:pt>
                <c:pt idx="20">
                  <c:v>10582.571428571429</c:v>
                </c:pt>
                <c:pt idx="21">
                  <c:v>11196.066666666668</c:v>
                </c:pt>
                <c:pt idx="22">
                  <c:v>11168.483870967742</c:v>
                </c:pt>
                <c:pt idx="23">
                  <c:v>10101.827586206897</c:v>
                </c:pt>
                <c:pt idx="24">
                  <c:v>11210.483870967742</c:v>
                </c:pt>
                <c:pt idx="25">
                  <c:v>10290.806451612903</c:v>
                </c:pt>
                <c:pt idx="26">
                  <c:v>9922.5357142857138</c:v>
                </c:pt>
                <c:pt idx="27">
                  <c:v>9821.6129032258068</c:v>
                </c:pt>
                <c:pt idx="28">
                  <c:v>9744.6333333333332</c:v>
                </c:pt>
                <c:pt idx="29">
                  <c:v>8985</c:v>
                </c:pt>
                <c:pt idx="30">
                  <c:v>9102.8333333333339</c:v>
                </c:pt>
                <c:pt idx="31">
                  <c:v>8705.4838709677424</c:v>
                </c:pt>
                <c:pt idx="32">
                  <c:v>7883.7096774193551</c:v>
                </c:pt>
                <c:pt idx="33">
                  <c:v>8420.0333333333328</c:v>
                </c:pt>
                <c:pt idx="34">
                  <c:v>7851.5714285714284</c:v>
                </c:pt>
                <c:pt idx="35">
                  <c:v>8224.8333333333339</c:v>
                </c:pt>
                <c:pt idx="36">
                  <c:v>8269.9032258064508</c:v>
                </c:pt>
                <c:pt idx="37">
                  <c:v>7382.7741935483873</c:v>
                </c:pt>
                <c:pt idx="38">
                  <c:v>7760.6428571428569</c:v>
                </c:pt>
                <c:pt idx="39">
                  <c:v>7825.4838709677415</c:v>
                </c:pt>
                <c:pt idx="40">
                  <c:v>6908.9333333333334</c:v>
                </c:pt>
                <c:pt idx="41">
                  <c:v>8256.0645161290322</c:v>
                </c:pt>
                <c:pt idx="42">
                  <c:v>7697.4444444444443</c:v>
                </c:pt>
                <c:pt idx="43">
                  <c:v>8570.1612903225814</c:v>
                </c:pt>
                <c:pt idx="44">
                  <c:v>8785.6129032258068</c:v>
                </c:pt>
                <c:pt idx="45">
                  <c:v>8520.9333333333325</c:v>
                </c:pt>
                <c:pt idx="46">
                  <c:v>8327.677419354839</c:v>
                </c:pt>
                <c:pt idx="47">
                  <c:v>7950.2068965517237</c:v>
                </c:pt>
                <c:pt idx="48">
                  <c:v>8080.3548387096771</c:v>
                </c:pt>
                <c:pt idx="49">
                  <c:v>8117.8387096774195</c:v>
                </c:pt>
                <c:pt idx="50">
                  <c:v>6916.3571428571431</c:v>
                </c:pt>
                <c:pt idx="51">
                  <c:v>7207.5806451612907</c:v>
                </c:pt>
                <c:pt idx="52">
                  <c:v>7318.0666666666666</c:v>
                </c:pt>
                <c:pt idx="53">
                  <c:v>7153.272727272727</c:v>
                </c:pt>
                <c:pt idx="54">
                  <c:v>7073.4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F7F-405D-BE05-256CA7A8472B}"/>
            </c:ext>
          </c:extLst>
        </c:ser>
        <c:ser>
          <c:idx val="6"/>
          <c:order val="6"/>
          <c:tx>
            <c:strRef>
              <c:f>'NPV w Mo''ly data chart'!$B$10</c:f>
              <c:strCache>
                <c:ptCount val="1"/>
                <c:pt idx="0">
                  <c:v>WR678 PS004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'NPV w Mo''ly data chart'!$C$2:$BE$3</c15:sqref>
                  </c15:fullRef>
                  <c15:levelRef>
                    <c15:sqref>'NPV w Mo''ly data chart'!$C$2:$BE$2</c15:sqref>
                  </c15:levelRef>
                </c:ext>
              </c:extLst>
              <c:f>'NPV w Mo''ly data chart'!$C$2:$BE$2</c:f>
              <c:strCache>
                <c:ptCount val="55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  <c:pt idx="13">
                  <c:v>January</c:v>
                </c:pt>
                <c:pt idx="14">
                  <c:v>February</c:v>
                </c:pt>
                <c:pt idx="15">
                  <c:v>March</c:v>
                </c:pt>
                <c:pt idx="16">
                  <c:v>April</c:v>
                </c:pt>
                <c:pt idx="17">
                  <c:v>May</c:v>
                </c:pt>
                <c:pt idx="18">
                  <c:v>June</c:v>
                </c:pt>
                <c:pt idx="19">
                  <c:v>July</c:v>
                </c:pt>
                <c:pt idx="20">
                  <c:v>August</c:v>
                </c:pt>
                <c:pt idx="21">
                  <c:v>September</c:v>
                </c:pt>
                <c:pt idx="22">
                  <c:v>October</c:v>
                </c:pt>
                <c:pt idx="23">
                  <c:v>November</c:v>
                </c:pt>
                <c:pt idx="24">
                  <c:v>December</c:v>
                </c:pt>
                <c:pt idx="25">
                  <c:v>January</c:v>
                </c:pt>
                <c:pt idx="26">
                  <c:v>February</c:v>
                </c:pt>
                <c:pt idx="27">
                  <c:v>March</c:v>
                </c:pt>
                <c:pt idx="28">
                  <c:v>April</c:v>
                </c:pt>
                <c:pt idx="29">
                  <c:v>May</c:v>
                </c:pt>
                <c:pt idx="30">
                  <c:v>June</c:v>
                </c:pt>
                <c:pt idx="31">
                  <c:v>July</c:v>
                </c:pt>
                <c:pt idx="32">
                  <c:v>August</c:v>
                </c:pt>
                <c:pt idx="33">
                  <c:v>September</c:v>
                </c:pt>
                <c:pt idx="34">
                  <c:v>October</c:v>
                </c:pt>
                <c:pt idx="35">
                  <c:v>November</c:v>
                </c:pt>
                <c:pt idx="36">
                  <c:v>December</c:v>
                </c:pt>
                <c:pt idx="37">
                  <c:v>January</c:v>
                </c:pt>
                <c:pt idx="38">
                  <c:v>February</c:v>
                </c:pt>
                <c:pt idx="39">
                  <c:v>March</c:v>
                </c:pt>
                <c:pt idx="40">
                  <c:v>April</c:v>
                </c:pt>
                <c:pt idx="41">
                  <c:v>May</c:v>
                </c:pt>
                <c:pt idx="42">
                  <c:v>June</c:v>
                </c:pt>
                <c:pt idx="43">
                  <c:v>July</c:v>
                </c:pt>
                <c:pt idx="44">
                  <c:v>August</c:v>
                </c:pt>
                <c:pt idx="45">
                  <c:v>September</c:v>
                </c:pt>
                <c:pt idx="46">
                  <c:v>October</c:v>
                </c:pt>
                <c:pt idx="47">
                  <c:v>November</c:v>
                </c:pt>
                <c:pt idx="48">
                  <c:v>December</c:v>
                </c:pt>
                <c:pt idx="49">
                  <c:v>January</c:v>
                </c:pt>
                <c:pt idx="50">
                  <c:v>February</c:v>
                </c:pt>
                <c:pt idx="51">
                  <c:v>March</c:v>
                </c:pt>
                <c:pt idx="52">
                  <c:v>April</c:v>
                </c:pt>
                <c:pt idx="53">
                  <c:v>May</c:v>
                </c:pt>
                <c:pt idx="54">
                  <c:v>June</c:v>
                </c:pt>
              </c:strCache>
            </c:strRef>
          </c:cat>
          <c:val>
            <c:numRef>
              <c:f>'NPV w Mo''ly data chart'!$C$10:$BE$10</c:f>
              <c:numCache>
                <c:formatCode>_(* #,##0_);_(* \(#,##0\);_(* "-"??_);_(@_)</c:formatCode>
                <c:ptCount val="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8921.9333333333325</c:v>
                </c:pt>
                <c:pt idx="17">
                  <c:v>13616.733333333334</c:v>
                </c:pt>
                <c:pt idx="18">
                  <c:v>14216.2</c:v>
                </c:pt>
                <c:pt idx="19">
                  <c:v>14000.903225806451</c:v>
                </c:pt>
                <c:pt idx="20">
                  <c:v>14360.612903225807</c:v>
                </c:pt>
                <c:pt idx="21">
                  <c:v>15119.033333333333</c:v>
                </c:pt>
                <c:pt idx="22">
                  <c:v>15280.032258064517</c:v>
                </c:pt>
                <c:pt idx="23">
                  <c:v>14525.689655172413</c:v>
                </c:pt>
                <c:pt idx="24">
                  <c:v>15903.483870967742</c:v>
                </c:pt>
                <c:pt idx="25">
                  <c:v>15545.612903225807</c:v>
                </c:pt>
                <c:pt idx="26">
                  <c:v>15783.285714285714</c:v>
                </c:pt>
                <c:pt idx="27">
                  <c:v>15310.225806451614</c:v>
                </c:pt>
                <c:pt idx="28">
                  <c:v>15783.1</c:v>
                </c:pt>
                <c:pt idx="29">
                  <c:v>15276.193548387097</c:v>
                </c:pt>
                <c:pt idx="30">
                  <c:v>15614.033333333333</c:v>
                </c:pt>
                <c:pt idx="31">
                  <c:v>15952.032258064517</c:v>
                </c:pt>
                <c:pt idx="32">
                  <c:v>15291.387096774193</c:v>
                </c:pt>
                <c:pt idx="33">
                  <c:v>15567.866666666667</c:v>
                </c:pt>
                <c:pt idx="34">
                  <c:v>14834.785714285714</c:v>
                </c:pt>
                <c:pt idx="35">
                  <c:v>15312.1</c:v>
                </c:pt>
                <c:pt idx="36">
                  <c:v>15441.677419354839</c:v>
                </c:pt>
                <c:pt idx="37">
                  <c:v>14435.258064516129</c:v>
                </c:pt>
                <c:pt idx="38">
                  <c:v>14479.857142857143</c:v>
                </c:pt>
                <c:pt idx="39">
                  <c:v>14513.741935483871</c:v>
                </c:pt>
                <c:pt idx="40">
                  <c:v>13535.8</c:v>
                </c:pt>
                <c:pt idx="41">
                  <c:v>15405.161290322581</c:v>
                </c:pt>
                <c:pt idx="42">
                  <c:v>15972.966666666667</c:v>
                </c:pt>
                <c:pt idx="43">
                  <c:v>15147.387096774193</c:v>
                </c:pt>
                <c:pt idx="44">
                  <c:v>15648.709677419354</c:v>
                </c:pt>
                <c:pt idx="45">
                  <c:v>15338.433333333332</c:v>
                </c:pt>
                <c:pt idx="46">
                  <c:v>14448.129032258064</c:v>
                </c:pt>
                <c:pt idx="47">
                  <c:v>14996.103448275862</c:v>
                </c:pt>
                <c:pt idx="48">
                  <c:v>15505.387096774193</c:v>
                </c:pt>
                <c:pt idx="49">
                  <c:v>15785.483870967742</c:v>
                </c:pt>
                <c:pt idx="50">
                  <c:v>15048.071428571429</c:v>
                </c:pt>
                <c:pt idx="51">
                  <c:v>14716.806451612903</c:v>
                </c:pt>
                <c:pt idx="52">
                  <c:v>14782.333333333334</c:v>
                </c:pt>
                <c:pt idx="53">
                  <c:v>14974.5</c:v>
                </c:pt>
                <c:pt idx="54">
                  <c:v>14986.033333333333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F7F-405D-BE05-256CA7A8472B}"/>
            </c:ext>
          </c:extLst>
        </c:ser>
        <c:ser>
          <c:idx val="7"/>
          <c:order val="7"/>
          <c:tx>
            <c:strRef>
              <c:f>'NPV w Mo''ly data chart'!$B$11</c:f>
              <c:strCache>
                <c:ptCount val="1"/>
                <c:pt idx="0">
                  <c:v>WR678 PS005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'NPV w Mo''ly data chart'!$C$2:$BE$3</c15:sqref>
                  </c15:fullRef>
                  <c15:levelRef>
                    <c15:sqref>'NPV w Mo''ly data chart'!$C$2:$BE$2</c15:sqref>
                  </c15:levelRef>
                </c:ext>
              </c:extLst>
              <c:f>'NPV w Mo''ly data chart'!$C$2:$BE$2</c:f>
              <c:strCache>
                <c:ptCount val="55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  <c:pt idx="13">
                  <c:v>January</c:v>
                </c:pt>
                <c:pt idx="14">
                  <c:v>February</c:v>
                </c:pt>
                <c:pt idx="15">
                  <c:v>March</c:v>
                </c:pt>
                <c:pt idx="16">
                  <c:v>April</c:v>
                </c:pt>
                <c:pt idx="17">
                  <c:v>May</c:v>
                </c:pt>
                <c:pt idx="18">
                  <c:v>June</c:v>
                </c:pt>
                <c:pt idx="19">
                  <c:v>July</c:v>
                </c:pt>
                <c:pt idx="20">
                  <c:v>August</c:v>
                </c:pt>
                <c:pt idx="21">
                  <c:v>September</c:v>
                </c:pt>
                <c:pt idx="22">
                  <c:v>October</c:v>
                </c:pt>
                <c:pt idx="23">
                  <c:v>November</c:v>
                </c:pt>
                <c:pt idx="24">
                  <c:v>December</c:v>
                </c:pt>
                <c:pt idx="25">
                  <c:v>January</c:v>
                </c:pt>
                <c:pt idx="26">
                  <c:v>February</c:v>
                </c:pt>
                <c:pt idx="27">
                  <c:v>March</c:v>
                </c:pt>
                <c:pt idx="28">
                  <c:v>April</c:v>
                </c:pt>
                <c:pt idx="29">
                  <c:v>May</c:v>
                </c:pt>
                <c:pt idx="30">
                  <c:v>June</c:v>
                </c:pt>
                <c:pt idx="31">
                  <c:v>July</c:v>
                </c:pt>
                <c:pt idx="32">
                  <c:v>August</c:v>
                </c:pt>
                <c:pt idx="33">
                  <c:v>September</c:v>
                </c:pt>
                <c:pt idx="34">
                  <c:v>October</c:v>
                </c:pt>
                <c:pt idx="35">
                  <c:v>November</c:v>
                </c:pt>
                <c:pt idx="36">
                  <c:v>December</c:v>
                </c:pt>
                <c:pt idx="37">
                  <c:v>January</c:v>
                </c:pt>
                <c:pt idx="38">
                  <c:v>February</c:v>
                </c:pt>
                <c:pt idx="39">
                  <c:v>March</c:v>
                </c:pt>
                <c:pt idx="40">
                  <c:v>April</c:v>
                </c:pt>
                <c:pt idx="41">
                  <c:v>May</c:v>
                </c:pt>
                <c:pt idx="42">
                  <c:v>June</c:v>
                </c:pt>
                <c:pt idx="43">
                  <c:v>July</c:v>
                </c:pt>
                <c:pt idx="44">
                  <c:v>August</c:v>
                </c:pt>
                <c:pt idx="45">
                  <c:v>September</c:v>
                </c:pt>
                <c:pt idx="46">
                  <c:v>October</c:v>
                </c:pt>
                <c:pt idx="47">
                  <c:v>November</c:v>
                </c:pt>
                <c:pt idx="48">
                  <c:v>December</c:v>
                </c:pt>
                <c:pt idx="49">
                  <c:v>January</c:v>
                </c:pt>
                <c:pt idx="50">
                  <c:v>February</c:v>
                </c:pt>
                <c:pt idx="51">
                  <c:v>March</c:v>
                </c:pt>
                <c:pt idx="52">
                  <c:v>April</c:v>
                </c:pt>
                <c:pt idx="53">
                  <c:v>May</c:v>
                </c:pt>
                <c:pt idx="54">
                  <c:v>June</c:v>
                </c:pt>
              </c:strCache>
            </c:strRef>
          </c:cat>
          <c:val>
            <c:numRef>
              <c:f>'NPV w Mo''ly data chart'!$C$11:$BE$11</c:f>
              <c:numCache>
                <c:formatCode>_(* #,##0_);_(* \(#,##0\);_(* "-"??_);_(@_)</c:formatCode>
                <c:ptCount val="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6867.2413793103451</c:v>
                </c:pt>
                <c:pt idx="38">
                  <c:v>7920.3928571428569</c:v>
                </c:pt>
                <c:pt idx="39">
                  <c:v>7875.1612903225805</c:v>
                </c:pt>
                <c:pt idx="40">
                  <c:v>7385.833333333333</c:v>
                </c:pt>
                <c:pt idx="41">
                  <c:v>7921.6451612903229</c:v>
                </c:pt>
                <c:pt idx="42">
                  <c:v>9784.8666666666668</c:v>
                </c:pt>
                <c:pt idx="43">
                  <c:v>10636.258064516129</c:v>
                </c:pt>
                <c:pt idx="44">
                  <c:v>10302.645161290322</c:v>
                </c:pt>
                <c:pt idx="45">
                  <c:v>9814</c:v>
                </c:pt>
                <c:pt idx="46">
                  <c:v>9508.3870967741932</c:v>
                </c:pt>
                <c:pt idx="47">
                  <c:v>9139.3448275862065</c:v>
                </c:pt>
                <c:pt idx="48">
                  <c:v>9236.967741935483</c:v>
                </c:pt>
                <c:pt idx="49">
                  <c:v>8744.322580645161</c:v>
                </c:pt>
                <c:pt idx="50">
                  <c:v>8365.5357142857138</c:v>
                </c:pt>
                <c:pt idx="51">
                  <c:v>8059.6129032258068</c:v>
                </c:pt>
                <c:pt idx="52">
                  <c:v>8186.833333333333</c:v>
                </c:pt>
                <c:pt idx="53">
                  <c:v>8172.272727272727</c:v>
                </c:pt>
                <c:pt idx="54">
                  <c:v>8112.7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F7F-405D-BE05-256CA7A8472B}"/>
            </c:ext>
          </c:extLst>
        </c:ser>
        <c:ser>
          <c:idx val="8"/>
          <c:order val="8"/>
          <c:tx>
            <c:strRef>
              <c:f>'NPV w Mo''ly data chart'!$B$12</c:f>
              <c:strCache>
                <c:ptCount val="1"/>
                <c:pt idx="0">
                  <c:v>WR678 PN007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'NPV w Mo''ly data chart'!$C$2:$BE$3</c15:sqref>
                  </c15:fullRef>
                  <c15:levelRef>
                    <c15:sqref>'NPV w Mo''ly data chart'!$C$2:$BE$2</c15:sqref>
                  </c15:levelRef>
                </c:ext>
              </c:extLst>
              <c:f>'NPV w Mo''ly data chart'!$C$2:$BE$2</c:f>
              <c:strCache>
                <c:ptCount val="55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  <c:pt idx="13">
                  <c:v>January</c:v>
                </c:pt>
                <c:pt idx="14">
                  <c:v>February</c:v>
                </c:pt>
                <c:pt idx="15">
                  <c:v>March</c:v>
                </c:pt>
                <c:pt idx="16">
                  <c:v>April</c:v>
                </c:pt>
                <c:pt idx="17">
                  <c:v>May</c:v>
                </c:pt>
                <c:pt idx="18">
                  <c:v>June</c:v>
                </c:pt>
                <c:pt idx="19">
                  <c:v>July</c:v>
                </c:pt>
                <c:pt idx="20">
                  <c:v>August</c:v>
                </c:pt>
                <c:pt idx="21">
                  <c:v>September</c:v>
                </c:pt>
                <c:pt idx="22">
                  <c:v>October</c:v>
                </c:pt>
                <c:pt idx="23">
                  <c:v>November</c:v>
                </c:pt>
                <c:pt idx="24">
                  <c:v>December</c:v>
                </c:pt>
                <c:pt idx="25">
                  <c:v>January</c:v>
                </c:pt>
                <c:pt idx="26">
                  <c:v>February</c:v>
                </c:pt>
                <c:pt idx="27">
                  <c:v>March</c:v>
                </c:pt>
                <c:pt idx="28">
                  <c:v>April</c:v>
                </c:pt>
                <c:pt idx="29">
                  <c:v>May</c:v>
                </c:pt>
                <c:pt idx="30">
                  <c:v>June</c:v>
                </c:pt>
                <c:pt idx="31">
                  <c:v>July</c:v>
                </c:pt>
                <c:pt idx="32">
                  <c:v>August</c:v>
                </c:pt>
                <c:pt idx="33">
                  <c:v>September</c:v>
                </c:pt>
                <c:pt idx="34">
                  <c:v>October</c:v>
                </c:pt>
                <c:pt idx="35">
                  <c:v>November</c:v>
                </c:pt>
                <c:pt idx="36">
                  <c:v>December</c:v>
                </c:pt>
                <c:pt idx="37">
                  <c:v>January</c:v>
                </c:pt>
                <c:pt idx="38">
                  <c:v>February</c:v>
                </c:pt>
                <c:pt idx="39">
                  <c:v>March</c:v>
                </c:pt>
                <c:pt idx="40">
                  <c:v>April</c:v>
                </c:pt>
                <c:pt idx="41">
                  <c:v>May</c:v>
                </c:pt>
                <c:pt idx="42">
                  <c:v>June</c:v>
                </c:pt>
                <c:pt idx="43">
                  <c:v>July</c:v>
                </c:pt>
                <c:pt idx="44">
                  <c:v>August</c:v>
                </c:pt>
                <c:pt idx="45">
                  <c:v>September</c:v>
                </c:pt>
                <c:pt idx="46">
                  <c:v>October</c:v>
                </c:pt>
                <c:pt idx="47">
                  <c:v>November</c:v>
                </c:pt>
                <c:pt idx="48">
                  <c:v>December</c:v>
                </c:pt>
                <c:pt idx="49">
                  <c:v>January</c:v>
                </c:pt>
                <c:pt idx="50">
                  <c:v>February</c:v>
                </c:pt>
                <c:pt idx="51">
                  <c:v>March</c:v>
                </c:pt>
                <c:pt idx="52">
                  <c:v>April</c:v>
                </c:pt>
                <c:pt idx="53">
                  <c:v>May</c:v>
                </c:pt>
                <c:pt idx="54">
                  <c:v>June</c:v>
                </c:pt>
              </c:strCache>
            </c:strRef>
          </c:cat>
          <c:val>
            <c:numRef>
              <c:f>'NPV w Mo''ly data chart'!$C$12:$BE$12</c:f>
              <c:numCache>
                <c:formatCode>_(* #,##0_);_(* \(#,##0\);_(* "-"??_);_(@_)</c:formatCode>
                <c:ptCount val="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8189</c:v>
                </c:pt>
                <c:pt idx="21">
                  <c:v>9865.9</c:v>
                </c:pt>
                <c:pt idx="22">
                  <c:v>11767.483870967742</c:v>
                </c:pt>
                <c:pt idx="23">
                  <c:v>11417.103448275862</c:v>
                </c:pt>
                <c:pt idx="24">
                  <c:v>12952.387096774193</c:v>
                </c:pt>
                <c:pt idx="25">
                  <c:v>13742.774193548386</c:v>
                </c:pt>
                <c:pt idx="26">
                  <c:v>13755.607142857143</c:v>
                </c:pt>
                <c:pt idx="27">
                  <c:v>14384.322580645161</c:v>
                </c:pt>
                <c:pt idx="28">
                  <c:v>14748.066666666668</c:v>
                </c:pt>
                <c:pt idx="29">
                  <c:v>14803.806451612903</c:v>
                </c:pt>
                <c:pt idx="30">
                  <c:v>14604.333333333334</c:v>
                </c:pt>
                <c:pt idx="31">
                  <c:v>14759.129032258064</c:v>
                </c:pt>
                <c:pt idx="32">
                  <c:v>15206.258064516129</c:v>
                </c:pt>
                <c:pt idx="33">
                  <c:v>16429.333333333332</c:v>
                </c:pt>
                <c:pt idx="34">
                  <c:v>15120.25</c:v>
                </c:pt>
                <c:pt idx="35">
                  <c:v>15455</c:v>
                </c:pt>
                <c:pt idx="36">
                  <c:v>14775.451612903225</c:v>
                </c:pt>
                <c:pt idx="37">
                  <c:v>14084.870967741936</c:v>
                </c:pt>
                <c:pt idx="38">
                  <c:v>13777.75</c:v>
                </c:pt>
                <c:pt idx="39">
                  <c:v>13520.225806451614</c:v>
                </c:pt>
                <c:pt idx="40">
                  <c:v>11776.533333333333</c:v>
                </c:pt>
                <c:pt idx="41">
                  <c:v>14652.935483870968</c:v>
                </c:pt>
                <c:pt idx="42">
                  <c:v>15159.9</c:v>
                </c:pt>
                <c:pt idx="43">
                  <c:v>14233.322580645161</c:v>
                </c:pt>
                <c:pt idx="44">
                  <c:v>14056.548387096775</c:v>
                </c:pt>
                <c:pt idx="45">
                  <c:v>14037.966666666667</c:v>
                </c:pt>
                <c:pt idx="46">
                  <c:v>13572.935483870968</c:v>
                </c:pt>
                <c:pt idx="47">
                  <c:v>13100.206896551725</c:v>
                </c:pt>
                <c:pt idx="48">
                  <c:v>13073.193548387097</c:v>
                </c:pt>
                <c:pt idx="49">
                  <c:v>13107</c:v>
                </c:pt>
                <c:pt idx="50">
                  <c:v>12661.035714285714</c:v>
                </c:pt>
                <c:pt idx="51">
                  <c:v>12464.387096774193</c:v>
                </c:pt>
                <c:pt idx="52">
                  <c:v>12603.566666666668</c:v>
                </c:pt>
                <c:pt idx="53">
                  <c:v>12446.818181818182</c:v>
                </c:pt>
                <c:pt idx="54">
                  <c:v>12573.966666666667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F7F-405D-BE05-256CA7A8472B}"/>
            </c:ext>
          </c:extLst>
        </c:ser>
        <c:ser>
          <c:idx val="9"/>
          <c:order val="9"/>
          <c:tx>
            <c:strRef>
              <c:f>'NPV w Mo''ly data chart'!$B$13</c:f>
              <c:strCache>
                <c:ptCount val="1"/>
                <c:pt idx="0">
                  <c:v>WR678 PS007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'NPV w Mo''ly data chart'!$C$2:$BE$3</c15:sqref>
                  </c15:fullRef>
                  <c15:levelRef>
                    <c15:sqref>'NPV w Mo''ly data chart'!$C$2:$BE$2</c15:sqref>
                  </c15:levelRef>
                </c:ext>
              </c:extLst>
              <c:f>'NPV w Mo''ly data chart'!$C$2:$BE$2</c:f>
              <c:strCache>
                <c:ptCount val="55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  <c:pt idx="13">
                  <c:v>January</c:v>
                </c:pt>
                <c:pt idx="14">
                  <c:v>February</c:v>
                </c:pt>
                <c:pt idx="15">
                  <c:v>March</c:v>
                </c:pt>
                <c:pt idx="16">
                  <c:v>April</c:v>
                </c:pt>
                <c:pt idx="17">
                  <c:v>May</c:v>
                </c:pt>
                <c:pt idx="18">
                  <c:v>June</c:v>
                </c:pt>
                <c:pt idx="19">
                  <c:v>July</c:v>
                </c:pt>
                <c:pt idx="20">
                  <c:v>August</c:v>
                </c:pt>
                <c:pt idx="21">
                  <c:v>September</c:v>
                </c:pt>
                <c:pt idx="22">
                  <c:v>October</c:v>
                </c:pt>
                <c:pt idx="23">
                  <c:v>November</c:v>
                </c:pt>
                <c:pt idx="24">
                  <c:v>December</c:v>
                </c:pt>
                <c:pt idx="25">
                  <c:v>January</c:v>
                </c:pt>
                <c:pt idx="26">
                  <c:v>February</c:v>
                </c:pt>
                <c:pt idx="27">
                  <c:v>March</c:v>
                </c:pt>
                <c:pt idx="28">
                  <c:v>April</c:v>
                </c:pt>
                <c:pt idx="29">
                  <c:v>May</c:v>
                </c:pt>
                <c:pt idx="30">
                  <c:v>June</c:v>
                </c:pt>
                <c:pt idx="31">
                  <c:v>July</c:v>
                </c:pt>
                <c:pt idx="32">
                  <c:v>August</c:v>
                </c:pt>
                <c:pt idx="33">
                  <c:v>September</c:v>
                </c:pt>
                <c:pt idx="34">
                  <c:v>October</c:v>
                </c:pt>
                <c:pt idx="35">
                  <c:v>November</c:v>
                </c:pt>
                <c:pt idx="36">
                  <c:v>December</c:v>
                </c:pt>
                <c:pt idx="37">
                  <c:v>January</c:v>
                </c:pt>
                <c:pt idx="38">
                  <c:v>February</c:v>
                </c:pt>
                <c:pt idx="39">
                  <c:v>March</c:v>
                </c:pt>
                <c:pt idx="40">
                  <c:v>April</c:v>
                </c:pt>
                <c:pt idx="41">
                  <c:v>May</c:v>
                </c:pt>
                <c:pt idx="42">
                  <c:v>June</c:v>
                </c:pt>
                <c:pt idx="43">
                  <c:v>July</c:v>
                </c:pt>
                <c:pt idx="44">
                  <c:v>August</c:v>
                </c:pt>
                <c:pt idx="45">
                  <c:v>September</c:v>
                </c:pt>
                <c:pt idx="46">
                  <c:v>October</c:v>
                </c:pt>
                <c:pt idx="47">
                  <c:v>November</c:v>
                </c:pt>
                <c:pt idx="48">
                  <c:v>December</c:v>
                </c:pt>
                <c:pt idx="49">
                  <c:v>January</c:v>
                </c:pt>
                <c:pt idx="50">
                  <c:v>February</c:v>
                </c:pt>
                <c:pt idx="51">
                  <c:v>March</c:v>
                </c:pt>
                <c:pt idx="52">
                  <c:v>April</c:v>
                </c:pt>
                <c:pt idx="53">
                  <c:v>May</c:v>
                </c:pt>
                <c:pt idx="54">
                  <c:v>June</c:v>
                </c:pt>
              </c:strCache>
            </c:strRef>
          </c:cat>
          <c:val>
            <c:numRef>
              <c:f>'NPV w Mo''ly data chart'!$C$13:$BE$13</c:f>
              <c:numCache>
                <c:formatCode>_(* #,##0_);_(* \(#,##0\);_(* "-"??_);_(@_)</c:formatCode>
                <c:ptCount val="55"/>
                <c:pt idx="0">
                  <c:v>0</c:v>
                </c:pt>
                <c:pt idx="42">
                  <c:v>6627.666666666667</c:v>
                </c:pt>
                <c:pt idx="43">
                  <c:v>10525.032258064517</c:v>
                </c:pt>
                <c:pt idx="44">
                  <c:v>11985.709677419354</c:v>
                </c:pt>
                <c:pt idx="45">
                  <c:v>12452.366666666667</c:v>
                </c:pt>
                <c:pt idx="46">
                  <c:v>12375.064516129032</c:v>
                </c:pt>
                <c:pt idx="47">
                  <c:v>12009.379310344828</c:v>
                </c:pt>
                <c:pt idx="48">
                  <c:v>12050.516129032258</c:v>
                </c:pt>
                <c:pt idx="49">
                  <c:v>12405.935483870968</c:v>
                </c:pt>
                <c:pt idx="50">
                  <c:v>11667</c:v>
                </c:pt>
                <c:pt idx="51">
                  <c:v>11027.258064516129</c:v>
                </c:pt>
                <c:pt idx="52">
                  <c:v>11232.9</c:v>
                </c:pt>
                <c:pt idx="53">
                  <c:v>11195.59090909091</c:v>
                </c:pt>
                <c:pt idx="54">
                  <c:v>10997.266666666666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F7F-405D-BE05-256CA7A8472B}"/>
            </c:ext>
          </c:extLst>
        </c:ser>
        <c:ser>
          <c:idx val="10"/>
          <c:order val="10"/>
          <c:tx>
            <c:strRef>
              <c:f>'NPV w Mo''ly data chart'!$B$16</c:f>
              <c:strCache>
                <c:ptCount val="1"/>
                <c:pt idx="0">
                  <c:v>WR759 PS001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'NPV w Mo''ly data chart'!$C$2:$BE$3</c15:sqref>
                  </c15:fullRef>
                  <c15:levelRef>
                    <c15:sqref>'NPV w Mo''ly data chart'!$C$2:$BE$2</c15:sqref>
                  </c15:levelRef>
                </c:ext>
              </c:extLst>
              <c:f>'NPV w Mo''ly data chart'!$C$2:$BE$2</c:f>
              <c:strCache>
                <c:ptCount val="55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  <c:pt idx="13">
                  <c:v>January</c:v>
                </c:pt>
                <c:pt idx="14">
                  <c:v>February</c:v>
                </c:pt>
                <c:pt idx="15">
                  <c:v>March</c:v>
                </c:pt>
                <c:pt idx="16">
                  <c:v>April</c:v>
                </c:pt>
                <c:pt idx="17">
                  <c:v>May</c:v>
                </c:pt>
                <c:pt idx="18">
                  <c:v>June</c:v>
                </c:pt>
                <c:pt idx="19">
                  <c:v>July</c:v>
                </c:pt>
                <c:pt idx="20">
                  <c:v>August</c:v>
                </c:pt>
                <c:pt idx="21">
                  <c:v>September</c:v>
                </c:pt>
                <c:pt idx="22">
                  <c:v>October</c:v>
                </c:pt>
                <c:pt idx="23">
                  <c:v>November</c:v>
                </c:pt>
                <c:pt idx="24">
                  <c:v>December</c:v>
                </c:pt>
                <c:pt idx="25">
                  <c:v>January</c:v>
                </c:pt>
                <c:pt idx="26">
                  <c:v>February</c:v>
                </c:pt>
                <c:pt idx="27">
                  <c:v>March</c:v>
                </c:pt>
                <c:pt idx="28">
                  <c:v>April</c:v>
                </c:pt>
                <c:pt idx="29">
                  <c:v>May</c:v>
                </c:pt>
                <c:pt idx="30">
                  <c:v>June</c:v>
                </c:pt>
                <c:pt idx="31">
                  <c:v>July</c:v>
                </c:pt>
                <c:pt idx="32">
                  <c:v>August</c:v>
                </c:pt>
                <c:pt idx="33">
                  <c:v>September</c:v>
                </c:pt>
                <c:pt idx="34">
                  <c:v>October</c:v>
                </c:pt>
                <c:pt idx="35">
                  <c:v>November</c:v>
                </c:pt>
                <c:pt idx="36">
                  <c:v>December</c:v>
                </c:pt>
                <c:pt idx="37">
                  <c:v>January</c:v>
                </c:pt>
                <c:pt idx="38">
                  <c:v>February</c:v>
                </c:pt>
                <c:pt idx="39">
                  <c:v>March</c:v>
                </c:pt>
                <c:pt idx="40">
                  <c:v>April</c:v>
                </c:pt>
                <c:pt idx="41">
                  <c:v>May</c:v>
                </c:pt>
                <c:pt idx="42">
                  <c:v>June</c:v>
                </c:pt>
                <c:pt idx="43">
                  <c:v>July</c:v>
                </c:pt>
                <c:pt idx="44">
                  <c:v>August</c:v>
                </c:pt>
                <c:pt idx="45">
                  <c:v>September</c:v>
                </c:pt>
                <c:pt idx="46">
                  <c:v>October</c:v>
                </c:pt>
                <c:pt idx="47">
                  <c:v>November</c:v>
                </c:pt>
                <c:pt idx="48">
                  <c:v>December</c:v>
                </c:pt>
                <c:pt idx="49">
                  <c:v>January</c:v>
                </c:pt>
                <c:pt idx="50">
                  <c:v>February</c:v>
                </c:pt>
                <c:pt idx="51">
                  <c:v>March</c:v>
                </c:pt>
                <c:pt idx="52">
                  <c:v>April</c:v>
                </c:pt>
                <c:pt idx="53">
                  <c:v>May</c:v>
                </c:pt>
                <c:pt idx="54">
                  <c:v>June</c:v>
                </c:pt>
              </c:strCache>
            </c:strRef>
          </c:cat>
          <c:val>
            <c:numRef>
              <c:f>'NPV w Mo''ly data chart'!$C$16:$BE$16</c:f>
              <c:numCache>
                <c:formatCode>_(* #,##0_);_(* \(#,##0\);_(* "-"??_);_(@_)</c:formatCode>
                <c:ptCount val="55"/>
                <c:pt idx="0">
                  <c:v>8565.8799999999992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5">
                  <c:v>4310.2666666666664</c:v>
                </c:pt>
                <c:pt idx="26">
                  <c:v>738</c:v>
                </c:pt>
                <c:pt idx="27">
                  <c:v>4835.5357142857147</c:v>
                </c:pt>
                <c:pt idx="28">
                  <c:v>7325.2</c:v>
                </c:pt>
                <c:pt idx="29">
                  <c:v>6997.4193548387093</c:v>
                </c:pt>
                <c:pt idx="30">
                  <c:v>6976.4</c:v>
                </c:pt>
                <c:pt idx="31">
                  <c:v>7303.9354838709678</c:v>
                </c:pt>
                <c:pt idx="32">
                  <c:v>5497.5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F7F-405D-BE05-256CA7A8472B}"/>
            </c:ext>
          </c:extLst>
        </c:ser>
        <c:ser>
          <c:idx val="11"/>
          <c:order val="11"/>
          <c:tx>
            <c:strRef>
              <c:f>'NPV w Mo''ly data chart'!$B$17</c:f>
              <c:strCache>
                <c:ptCount val="1"/>
                <c:pt idx="0">
                  <c:v>WR759 PS002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'NPV w Mo''ly data chart'!$C$2:$BE$3</c15:sqref>
                  </c15:fullRef>
                  <c15:levelRef>
                    <c15:sqref>'NPV w Mo''ly data chart'!$C$2:$BE$2</c15:sqref>
                  </c15:levelRef>
                </c:ext>
              </c:extLst>
              <c:f>'NPV w Mo''ly data chart'!$C$2:$BE$2</c:f>
              <c:strCache>
                <c:ptCount val="55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  <c:pt idx="13">
                  <c:v>January</c:v>
                </c:pt>
                <c:pt idx="14">
                  <c:v>February</c:v>
                </c:pt>
                <c:pt idx="15">
                  <c:v>March</c:v>
                </c:pt>
                <c:pt idx="16">
                  <c:v>April</c:v>
                </c:pt>
                <c:pt idx="17">
                  <c:v>May</c:v>
                </c:pt>
                <c:pt idx="18">
                  <c:v>June</c:v>
                </c:pt>
                <c:pt idx="19">
                  <c:v>July</c:v>
                </c:pt>
                <c:pt idx="20">
                  <c:v>August</c:v>
                </c:pt>
                <c:pt idx="21">
                  <c:v>September</c:v>
                </c:pt>
                <c:pt idx="22">
                  <c:v>October</c:v>
                </c:pt>
                <c:pt idx="23">
                  <c:v>November</c:v>
                </c:pt>
                <c:pt idx="24">
                  <c:v>December</c:v>
                </c:pt>
                <c:pt idx="25">
                  <c:v>January</c:v>
                </c:pt>
                <c:pt idx="26">
                  <c:v>February</c:v>
                </c:pt>
                <c:pt idx="27">
                  <c:v>March</c:v>
                </c:pt>
                <c:pt idx="28">
                  <c:v>April</c:v>
                </c:pt>
                <c:pt idx="29">
                  <c:v>May</c:v>
                </c:pt>
                <c:pt idx="30">
                  <c:v>June</c:v>
                </c:pt>
                <c:pt idx="31">
                  <c:v>July</c:v>
                </c:pt>
                <c:pt idx="32">
                  <c:v>August</c:v>
                </c:pt>
                <c:pt idx="33">
                  <c:v>September</c:v>
                </c:pt>
                <c:pt idx="34">
                  <c:v>October</c:v>
                </c:pt>
                <c:pt idx="35">
                  <c:v>November</c:v>
                </c:pt>
                <c:pt idx="36">
                  <c:v>December</c:v>
                </c:pt>
                <c:pt idx="37">
                  <c:v>January</c:v>
                </c:pt>
                <c:pt idx="38">
                  <c:v>February</c:v>
                </c:pt>
                <c:pt idx="39">
                  <c:v>March</c:v>
                </c:pt>
                <c:pt idx="40">
                  <c:v>April</c:v>
                </c:pt>
                <c:pt idx="41">
                  <c:v>May</c:v>
                </c:pt>
                <c:pt idx="42">
                  <c:v>June</c:v>
                </c:pt>
                <c:pt idx="43">
                  <c:v>July</c:v>
                </c:pt>
                <c:pt idx="44">
                  <c:v>August</c:v>
                </c:pt>
                <c:pt idx="45">
                  <c:v>September</c:v>
                </c:pt>
                <c:pt idx="46">
                  <c:v>October</c:v>
                </c:pt>
                <c:pt idx="47">
                  <c:v>November</c:v>
                </c:pt>
                <c:pt idx="48">
                  <c:v>December</c:v>
                </c:pt>
                <c:pt idx="49">
                  <c:v>January</c:v>
                </c:pt>
                <c:pt idx="50">
                  <c:v>February</c:v>
                </c:pt>
                <c:pt idx="51">
                  <c:v>March</c:v>
                </c:pt>
                <c:pt idx="52">
                  <c:v>April</c:v>
                </c:pt>
                <c:pt idx="53">
                  <c:v>May</c:v>
                </c:pt>
                <c:pt idx="54">
                  <c:v>June</c:v>
                </c:pt>
              </c:strCache>
            </c:strRef>
          </c:cat>
          <c:val>
            <c:numRef>
              <c:f>'NPV w Mo''ly data chart'!$C$17:$BE$17</c:f>
              <c:numCache>
                <c:formatCode>_(* #,##0_);_(* \(#,##0\);_(* "-"??_);_(@_)</c:formatCode>
                <c:ptCount val="55"/>
                <c:pt idx="0">
                  <c:v>0</c:v>
                </c:pt>
                <c:pt idx="1">
                  <c:v>11616.25</c:v>
                </c:pt>
                <c:pt idx="2">
                  <c:v>12999.25</c:v>
                </c:pt>
                <c:pt idx="3">
                  <c:v>14147.064516129032</c:v>
                </c:pt>
                <c:pt idx="4">
                  <c:v>13465.4</c:v>
                </c:pt>
                <c:pt idx="5">
                  <c:v>12616.758620689656</c:v>
                </c:pt>
                <c:pt idx="6">
                  <c:v>13383.133333333333</c:v>
                </c:pt>
                <c:pt idx="7">
                  <c:v>12302.260869565218</c:v>
                </c:pt>
                <c:pt idx="8">
                  <c:v>12680.225806451614</c:v>
                </c:pt>
                <c:pt idx="9">
                  <c:v>11413.366666666667</c:v>
                </c:pt>
                <c:pt idx="10">
                  <c:v>10655.612903225807</c:v>
                </c:pt>
                <c:pt idx="11">
                  <c:v>10056.103448275862</c:v>
                </c:pt>
                <c:pt idx="12">
                  <c:v>10589.838709677419</c:v>
                </c:pt>
                <c:pt idx="13">
                  <c:v>10775.709677419354</c:v>
                </c:pt>
                <c:pt idx="14">
                  <c:v>10902.724137931034</c:v>
                </c:pt>
                <c:pt idx="15">
                  <c:v>11249.258064516129</c:v>
                </c:pt>
                <c:pt idx="16">
                  <c:v>10529.866666666667</c:v>
                </c:pt>
                <c:pt idx="17">
                  <c:v>10324.68</c:v>
                </c:pt>
                <c:pt idx="18">
                  <c:v>10962.966666666667</c:v>
                </c:pt>
                <c:pt idx="19">
                  <c:v>10887.967741935483</c:v>
                </c:pt>
                <c:pt idx="20">
                  <c:v>11005.032258064517</c:v>
                </c:pt>
                <c:pt idx="21">
                  <c:v>10800.366666666667</c:v>
                </c:pt>
                <c:pt idx="22">
                  <c:v>10583.774193548386</c:v>
                </c:pt>
                <c:pt idx="23">
                  <c:v>10504.2</c:v>
                </c:pt>
                <c:pt idx="24">
                  <c:v>10362.935483870968</c:v>
                </c:pt>
                <c:pt idx="25">
                  <c:v>9583.3870967741932</c:v>
                </c:pt>
                <c:pt idx="26">
                  <c:v>9615.8928571428569</c:v>
                </c:pt>
                <c:pt idx="27">
                  <c:v>9415.032258064517</c:v>
                </c:pt>
                <c:pt idx="28">
                  <c:v>8937.2999999999993</c:v>
                </c:pt>
                <c:pt idx="29">
                  <c:v>9132.8064516129034</c:v>
                </c:pt>
                <c:pt idx="30">
                  <c:v>8813.1333333333332</c:v>
                </c:pt>
                <c:pt idx="31">
                  <c:v>8996.354838709678</c:v>
                </c:pt>
                <c:pt idx="32">
                  <c:v>7958</c:v>
                </c:pt>
                <c:pt idx="33">
                  <c:v>8377.0333333333328</c:v>
                </c:pt>
                <c:pt idx="34">
                  <c:v>7984.4285714285716</c:v>
                </c:pt>
                <c:pt idx="35">
                  <c:v>8265.0666666666675</c:v>
                </c:pt>
                <c:pt idx="36">
                  <c:v>8219.4193548387102</c:v>
                </c:pt>
                <c:pt idx="37">
                  <c:v>8196.6129032258068</c:v>
                </c:pt>
                <c:pt idx="38">
                  <c:v>7545.4642857142853</c:v>
                </c:pt>
                <c:pt idx="39">
                  <c:v>9540.7419354838712</c:v>
                </c:pt>
                <c:pt idx="40">
                  <c:v>9120.4</c:v>
                </c:pt>
                <c:pt idx="41">
                  <c:v>9135.7741935483864</c:v>
                </c:pt>
                <c:pt idx="42">
                  <c:v>8959.6</c:v>
                </c:pt>
                <c:pt idx="43">
                  <c:v>8217.7096774193542</c:v>
                </c:pt>
                <c:pt idx="44">
                  <c:v>8497.3870967741932</c:v>
                </c:pt>
                <c:pt idx="45">
                  <c:v>8256</c:v>
                </c:pt>
                <c:pt idx="46">
                  <c:v>8079.322580645161</c:v>
                </c:pt>
                <c:pt idx="47">
                  <c:v>7866.666666666667</c:v>
                </c:pt>
                <c:pt idx="48">
                  <c:v>7245.8666666666668</c:v>
                </c:pt>
                <c:pt idx="49">
                  <c:v>7879.322580645161</c:v>
                </c:pt>
                <c:pt idx="50">
                  <c:v>7590.6071428571431</c:v>
                </c:pt>
                <c:pt idx="51">
                  <c:v>7108.1935483870966</c:v>
                </c:pt>
                <c:pt idx="52">
                  <c:v>7251.9666666666662</c:v>
                </c:pt>
                <c:pt idx="53">
                  <c:v>6805.272727272727</c:v>
                </c:pt>
                <c:pt idx="54">
                  <c:v>6634.5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F7F-405D-BE05-256CA7A8472B}"/>
            </c:ext>
          </c:extLst>
        </c:ser>
        <c:ser>
          <c:idx val="12"/>
          <c:order val="12"/>
          <c:tx>
            <c:strRef>
              <c:f>'NPV w Mo''ly data chart'!$B$18</c:f>
              <c:strCache>
                <c:ptCount val="1"/>
                <c:pt idx="0">
                  <c:v>WR759 PS004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'NPV w Mo''ly data chart'!$C$2:$BE$3</c15:sqref>
                  </c15:fullRef>
                  <c15:levelRef>
                    <c15:sqref>'NPV w Mo''ly data chart'!$C$2:$BE$2</c15:sqref>
                  </c15:levelRef>
                </c:ext>
              </c:extLst>
              <c:f>'NPV w Mo''ly data chart'!$C$2:$BE$2</c:f>
              <c:strCache>
                <c:ptCount val="55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  <c:pt idx="13">
                  <c:v>January</c:v>
                </c:pt>
                <c:pt idx="14">
                  <c:v>February</c:v>
                </c:pt>
                <c:pt idx="15">
                  <c:v>March</c:v>
                </c:pt>
                <c:pt idx="16">
                  <c:v>April</c:v>
                </c:pt>
                <c:pt idx="17">
                  <c:v>May</c:v>
                </c:pt>
                <c:pt idx="18">
                  <c:v>June</c:v>
                </c:pt>
                <c:pt idx="19">
                  <c:v>July</c:v>
                </c:pt>
                <c:pt idx="20">
                  <c:v>August</c:v>
                </c:pt>
                <c:pt idx="21">
                  <c:v>September</c:v>
                </c:pt>
                <c:pt idx="22">
                  <c:v>October</c:v>
                </c:pt>
                <c:pt idx="23">
                  <c:v>November</c:v>
                </c:pt>
                <c:pt idx="24">
                  <c:v>December</c:v>
                </c:pt>
                <c:pt idx="25">
                  <c:v>January</c:v>
                </c:pt>
                <c:pt idx="26">
                  <c:v>February</c:v>
                </c:pt>
                <c:pt idx="27">
                  <c:v>March</c:v>
                </c:pt>
                <c:pt idx="28">
                  <c:v>April</c:v>
                </c:pt>
                <c:pt idx="29">
                  <c:v>May</c:v>
                </c:pt>
                <c:pt idx="30">
                  <c:v>June</c:v>
                </c:pt>
                <c:pt idx="31">
                  <c:v>July</c:v>
                </c:pt>
                <c:pt idx="32">
                  <c:v>August</c:v>
                </c:pt>
                <c:pt idx="33">
                  <c:v>September</c:v>
                </c:pt>
                <c:pt idx="34">
                  <c:v>October</c:v>
                </c:pt>
                <c:pt idx="35">
                  <c:v>November</c:v>
                </c:pt>
                <c:pt idx="36">
                  <c:v>December</c:v>
                </c:pt>
                <c:pt idx="37">
                  <c:v>January</c:v>
                </c:pt>
                <c:pt idx="38">
                  <c:v>February</c:v>
                </c:pt>
                <c:pt idx="39">
                  <c:v>March</c:v>
                </c:pt>
                <c:pt idx="40">
                  <c:v>April</c:v>
                </c:pt>
                <c:pt idx="41">
                  <c:v>May</c:v>
                </c:pt>
                <c:pt idx="42">
                  <c:v>June</c:v>
                </c:pt>
                <c:pt idx="43">
                  <c:v>July</c:v>
                </c:pt>
                <c:pt idx="44">
                  <c:v>August</c:v>
                </c:pt>
                <c:pt idx="45">
                  <c:v>September</c:v>
                </c:pt>
                <c:pt idx="46">
                  <c:v>October</c:v>
                </c:pt>
                <c:pt idx="47">
                  <c:v>November</c:v>
                </c:pt>
                <c:pt idx="48">
                  <c:v>December</c:v>
                </c:pt>
                <c:pt idx="49">
                  <c:v>January</c:v>
                </c:pt>
                <c:pt idx="50">
                  <c:v>February</c:v>
                </c:pt>
                <c:pt idx="51">
                  <c:v>March</c:v>
                </c:pt>
                <c:pt idx="52">
                  <c:v>April</c:v>
                </c:pt>
                <c:pt idx="53">
                  <c:v>May</c:v>
                </c:pt>
                <c:pt idx="54">
                  <c:v>June</c:v>
                </c:pt>
              </c:strCache>
            </c:strRef>
          </c:cat>
          <c:val>
            <c:numRef>
              <c:f>'NPV w Mo''ly data chart'!$C$18:$BE$18</c:f>
              <c:numCache>
                <c:formatCode>_(* #,##0_);_(* \(#,##0\);_(* "-"??_);_(@_)</c:formatCode>
                <c:ptCount val="55"/>
                <c:pt idx="0">
                  <c:v>1331.25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9320.2941176470595</c:v>
                </c:pt>
                <c:pt idx="8">
                  <c:v>12506.838709677419</c:v>
                </c:pt>
                <c:pt idx="9">
                  <c:v>12578.7</c:v>
                </c:pt>
                <c:pt idx="10">
                  <c:v>12528.032258064517</c:v>
                </c:pt>
                <c:pt idx="11">
                  <c:v>12295.965517241379</c:v>
                </c:pt>
                <c:pt idx="12">
                  <c:v>12950.032258064517</c:v>
                </c:pt>
                <c:pt idx="13">
                  <c:v>13213.129032258064</c:v>
                </c:pt>
                <c:pt idx="14">
                  <c:v>13575.724137931034</c:v>
                </c:pt>
                <c:pt idx="15">
                  <c:v>14509.967741935483</c:v>
                </c:pt>
                <c:pt idx="16">
                  <c:v>14188.066666666668</c:v>
                </c:pt>
                <c:pt idx="17">
                  <c:v>14438.24</c:v>
                </c:pt>
                <c:pt idx="18">
                  <c:v>15465.433333333332</c:v>
                </c:pt>
                <c:pt idx="19">
                  <c:v>15319.161290322581</c:v>
                </c:pt>
                <c:pt idx="20">
                  <c:v>15654.967741935483</c:v>
                </c:pt>
                <c:pt idx="21">
                  <c:v>15454.866666666667</c:v>
                </c:pt>
                <c:pt idx="22">
                  <c:v>14540.516129032258</c:v>
                </c:pt>
                <c:pt idx="23">
                  <c:v>15701.833333333334</c:v>
                </c:pt>
                <c:pt idx="24">
                  <c:v>16502.580645161292</c:v>
                </c:pt>
                <c:pt idx="25">
                  <c:v>15641.870967741936</c:v>
                </c:pt>
                <c:pt idx="26">
                  <c:v>16865.035714285714</c:v>
                </c:pt>
                <c:pt idx="27">
                  <c:v>16465.806451612902</c:v>
                </c:pt>
                <c:pt idx="28">
                  <c:v>16365.933333333332</c:v>
                </c:pt>
                <c:pt idx="29">
                  <c:v>16778.709677419356</c:v>
                </c:pt>
                <c:pt idx="30">
                  <c:v>16464.366666666665</c:v>
                </c:pt>
                <c:pt idx="31">
                  <c:v>15236.586206896553</c:v>
                </c:pt>
                <c:pt idx="32">
                  <c:v>6105.4</c:v>
                </c:pt>
                <c:pt idx="33">
                  <c:v>5804.1</c:v>
                </c:pt>
                <c:pt idx="34">
                  <c:v>8438.25</c:v>
                </c:pt>
                <c:pt idx="35">
                  <c:v>8008.0714285714284</c:v>
                </c:pt>
                <c:pt idx="36">
                  <c:v>9869.5483870967746</c:v>
                </c:pt>
                <c:pt idx="37">
                  <c:v>10209.935483870968</c:v>
                </c:pt>
                <c:pt idx="38">
                  <c:v>12299.785714285714</c:v>
                </c:pt>
                <c:pt idx="39">
                  <c:v>10533.612903225807</c:v>
                </c:pt>
                <c:pt idx="40">
                  <c:v>10176.766666666666</c:v>
                </c:pt>
                <c:pt idx="41">
                  <c:v>10318.290322580646</c:v>
                </c:pt>
                <c:pt idx="42">
                  <c:v>10488.5</c:v>
                </c:pt>
                <c:pt idx="43">
                  <c:v>10099.322580645161</c:v>
                </c:pt>
                <c:pt idx="44">
                  <c:v>10313.709677419354</c:v>
                </c:pt>
                <c:pt idx="45">
                  <c:v>10497.366666666667</c:v>
                </c:pt>
                <c:pt idx="46">
                  <c:v>10253.838709677419</c:v>
                </c:pt>
                <c:pt idx="47">
                  <c:v>9859.5</c:v>
                </c:pt>
                <c:pt idx="48">
                  <c:v>9658.0344827586214</c:v>
                </c:pt>
                <c:pt idx="49">
                  <c:v>10165.483870967742</c:v>
                </c:pt>
                <c:pt idx="50">
                  <c:v>11454.857142857143</c:v>
                </c:pt>
                <c:pt idx="51">
                  <c:v>11768.741935483871</c:v>
                </c:pt>
                <c:pt idx="52">
                  <c:v>11997.433333333332</c:v>
                </c:pt>
                <c:pt idx="53">
                  <c:v>10987.565217391304</c:v>
                </c:pt>
                <c:pt idx="54">
                  <c:v>12098.866666666667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F7F-405D-BE05-256CA7A8472B}"/>
            </c:ext>
          </c:extLst>
        </c:ser>
        <c:ser>
          <c:idx val="13"/>
          <c:order val="13"/>
          <c:tx>
            <c:strRef>
              <c:f>'NPV w Mo''ly data chart'!$B$19</c:f>
              <c:strCache>
                <c:ptCount val="1"/>
                <c:pt idx="0">
                  <c:v>WR759 PS005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'NPV w Mo''ly data chart'!$C$2:$BE$3</c15:sqref>
                  </c15:fullRef>
                  <c15:levelRef>
                    <c15:sqref>'NPV w Mo''ly data chart'!$C$2:$BE$2</c15:sqref>
                  </c15:levelRef>
                </c:ext>
              </c:extLst>
              <c:f>'NPV w Mo''ly data chart'!$C$2:$BE$2</c:f>
              <c:strCache>
                <c:ptCount val="55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  <c:pt idx="13">
                  <c:v>January</c:v>
                </c:pt>
                <c:pt idx="14">
                  <c:v>February</c:v>
                </c:pt>
                <c:pt idx="15">
                  <c:v>March</c:v>
                </c:pt>
                <c:pt idx="16">
                  <c:v>April</c:v>
                </c:pt>
                <c:pt idx="17">
                  <c:v>May</c:v>
                </c:pt>
                <c:pt idx="18">
                  <c:v>June</c:v>
                </c:pt>
                <c:pt idx="19">
                  <c:v>July</c:v>
                </c:pt>
                <c:pt idx="20">
                  <c:v>August</c:v>
                </c:pt>
                <c:pt idx="21">
                  <c:v>September</c:v>
                </c:pt>
                <c:pt idx="22">
                  <c:v>October</c:v>
                </c:pt>
                <c:pt idx="23">
                  <c:v>November</c:v>
                </c:pt>
                <c:pt idx="24">
                  <c:v>December</c:v>
                </c:pt>
                <c:pt idx="25">
                  <c:v>January</c:v>
                </c:pt>
                <c:pt idx="26">
                  <c:v>February</c:v>
                </c:pt>
                <c:pt idx="27">
                  <c:v>March</c:v>
                </c:pt>
                <c:pt idx="28">
                  <c:v>April</c:v>
                </c:pt>
                <c:pt idx="29">
                  <c:v>May</c:v>
                </c:pt>
                <c:pt idx="30">
                  <c:v>June</c:v>
                </c:pt>
                <c:pt idx="31">
                  <c:v>July</c:v>
                </c:pt>
                <c:pt idx="32">
                  <c:v>August</c:v>
                </c:pt>
                <c:pt idx="33">
                  <c:v>September</c:v>
                </c:pt>
                <c:pt idx="34">
                  <c:v>October</c:v>
                </c:pt>
                <c:pt idx="35">
                  <c:v>November</c:v>
                </c:pt>
                <c:pt idx="36">
                  <c:v>December</c:v>
                </c:pt>
                <c:pt idx="37">
                  <c:v>January</c:v>
                </c:pt>
                <c:pt idx="38">
                  <c:v>February</c:v>
                </c:pt>
                <c:pt idx="39">
                  <c:v>March</c:v>
                </c:pt>
                <c:pt idx="40">
                  <c:v>April</c:v>
                </c:pt>
                <c:pt idx="41">
                  <c:v>May</c:v>
                </c:pt>
                <c:pt idx="42">
                  <c:v>June</c:v>
                </c:pt>
                <c:pt idx="43">
                  <c:v>July</c:v>
                </c:pt>
                <c:pt idx="44">
                  <c:v>August</c:v>
                </c:pt>
                <c:pt idx="45">
                  <c:v>September</c:v>
                </c:pt>
                <c:pt idx="46">
                  <c:v>October</c:v>
                </c:pt>
                <c:pt idx="47">
                  <c:v>November</c:v>
                </c:pt>
                <c:pt idx="48">
                  <c:v>December</c:v>
                </c:pt>
                <c:pt idx="49">
                  <c:v>January</c:v>
                </c:pt>
                <c:pt idx="50">
                  <c:v>February</c:v>
                </c:pt>
                <c:pt idx="51">
                  <c:v>March</c:v>
                </c:pt>
                <c:pt idx="52">
                  <c:v>April</c:v>
                </c:pt>
                <c:pt idx="53">
                  <c:v>May</c:v>
                </c:pt>
                <c:pt idx="54">
                  <c:v>June</c:v>
                </c:pt>
              </c:strCache>
            </c:strRef>
          </c:cat>
          <c:val>
            <c:numRef>
              <c:f>'NPV w Mo''ly data chart'!$C$19:$BE$19</c:f>
              <c:numCache>
                <c:formatCode>_(* #,##0_);_(* \(#,##0\);_(* "-"??_);_(@_)</c:formatCode>
                <c:ptCount val="55"/>
                <c:pt idx="0">
                  <c:v>0</c:v>
                </c:pt>
                <c:pt idx="1">
                  <c:v>873.5</c:v>
                </c:pt>
                <c:pt idx="2">
                  <c:v>6790.8</c:v>
                </c:pt>
                <c:pt idx="3">
                  <c:v>0</c:v>
                </c:pt>
                <c:pt idx="4">
                  <c:v>9962.6666666666661</c:v>
                </c:pt>
                <c:pt idx="5">
                  <c:v>12357</c:v>
                </c:pt>
                <c:pt idx="6">
                  <c:v>12247.5</c:v>
                </c:pt>
                <c:pt idx="7">
                  <c:v>10966.652173913044</c:v>
                </c:pt>
                <c:pt idx="8">
                  <c:v>11142.032258064517</c:v>
                </c:pt>
                <c:pt idx="9">
                  <c:v>11061.8</c:v>
                </c:pt>
                <c:pt idx="10">
                  <c:v>10468.741935483871</c:v>
                </c:pt>
                <c:pt idx="11">
                  <c:v>9706.1724137931033</c:v>
                </c:pt>
                <c:pt idx="12">
                  <c:v>10611</c:v>
                </c:pt>
                <c:pt idx="13">
                  <c:v>10098.258064516129</c:v>
                </c:pt>
                <c:pt idx="14">
                  <c:v>10102.965517241379</c:v>
                </c:pt>
                <c:pt idx="15">
                  <c:v>10298.548387096775</c:v>
                </c:pt>
                <c:pt idx="16">
                  <c:v>10298.548387096775</c:v>
                </c:pt>
                <c:pt idx="17">
                  <c:v>9429.64</c:v>
                </c:pt>
                <c:pt idx="18">
                  <c:v>9958.0333333333328</c:v>
                </c:pt>
                <c:pt idx="19">
                  <c:v>9586.7096774193542</c:v>
                </c:pt>
                <c:pt idx="20">
                  <c:v>9574.8387096774186</c:v>
                </c:pt>
                <c:pt idx="21">
                  <c:v>9347</c:v>
                </c:pt>
                <c:pt idx="22">
                  <c:v>8517.4516129032254</c:v>
                </c:pt>
                <c:pt idx="23">
                  <c:v>8723.7000000000007</c:v>
                </c:pt>
                <c:pt idx="24">
                  <c:v>8776.2258064516136</c:v>
                </c:pt>
                <c:pt idx="25">
                  <c:v>8424.3870967741932</c:v>
                </c:pt>
                <c:pt idx="26">
                  <c:v>8567</c:v>
                </c:pt>
                <c:pt idx="27">
                  <c:v>8614.9032258064508</c:v>
                </c:pt>
                <c:pt idx="28">
                  <c:v>8440</c:v>
                </c:pt>
                <c:pt idx="29">
                  <c:v>8652.1612903225814</c:v>
                </c:pt>
                <c:pt idx="30">
                  <c:v>8224.2666666666664</c:v>
                </c:pt>
                <c:pt idx="31">
                  <c:v>8502.4838709677424</c:v>
                </c:pt>
                <c:pt idx="32">
                  <c:v>7669.8620689655172</c:v>
                </c:pt>
                <c:pt idx="33">
                  <c:v>8042.166666666667</c:v>
                </c:pt>
                <c:pt idx="34">
                  <c:v>7357.2857142857147</c:v>
                </c:pt>
                <c:pt idx="35">
                  <c:v>7736.4</c:v>
                </c:pt>
                <c:pt idx="36">
                  <c:v>7670.3870967741932</c:v>
                </c:pt>
                <c:pt idx="37">
                  <c:v>7527.2580645161288</c:v>
                </c:pt>
                <c:pt idx="38">
                  <c:v>7040.5</c:v>
                </c:pt>
                <c:pt idx="39">
                  <c:v>8648.4193548387102</c:v>
                </c:pt>
                <c:pt idx="40">
                  <c:v>8256.1333333333332</c:v>
                </c:pt>
                <c:pt idx="41">
                  <c:v>8151.3870967741932</c:v>
                </c:pt>
                <c:pt idx="42">
                  <c:v>7730.333333333333</c:v>
                </c:pt>
                <c:pt idx="43">
                  <c:v>7624.1290322580644</c:v>
                </c:pt>
                <c:pt idx="44">
                  <c:v>7754.0645161290322</c:v>
                </c:pt>
                <c:pt idx="45">
                  <c:v>7489.4333333333334</c:v>
                </c:pt>
                <c:pt idx="46">
                  <c:v>7425.3548387096771</c:v>
                </c:pt>
                <c:pt idx="47">
                  <c:v>7356.5666666666666</c:v>
                </c:pt>
                <c:pt idx="48">
                  <c:v>6649.4</c:v>
                </c:pt>
                <c:pt idx="49">
                  <c:v>7426.5483870967746</c:v>
                </c:pt>
                <c:pt idx="50">
                  <c:v>7109.2857142857147</c:v>
                </c:pt>
                <c:pt idx="51">
                  <c:v>6863.333333333333</c:v>
                </c:pt>
                <c:pt idx="52">
                  <c:v>6839.8</c:v>
                </c:pt>
                <c:pt idx="53">
                  <c:v>6619.272727272727</c:v>
                </c:pt>
                <c:pt idx="54">
                  <c:v>7060.6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F7F-405D-BE05-256CA7A8472B}"/>
            </c:ext>
          </c:extLst>
        </c:ser>
        <c:ser>
          <c:idx val="14"/>
          <c:order val="14"/>
          <c:tx>
            <c:strRef>
              <c:f>'NPV w Mo''ly data chart'!$B$20</c:f>
              <c:strCache>
                <c:ptCount val="1"/>
                <c:pt idx="0">
                  <c:v>WR759 PS007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'NPV w Mo''ly data chart'!$C$2:$BE$3</c15:sqref>
                  </c15:fullRef>
                  <c15:levelRef>
                    <c15:sqref>'NPV w Mo''ly data chart'!$C$2:$BE$2</c15:sqref>
                  </c15:levelRef>
                </c:ext>
              </c:extLst>
              <c:f>'NPV w Mo''ly data chart'!$C$2:$BE$2</c:f>
              <c:strCache>
                <c:ptCount val="55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  <c:pt idx="13">
                  <c:v>January</c:v>
                </c:pt>
                <c:pt idx="14">
                  <c:v>February</c:v>
                </c:pt>
                <c:pt idx="15">
                  <c:v>March</c:v>
                </c:pt>
                <c:pt idx="16">
                  <c:v>April</c:v>
                </c:pt>
                <c:pt idx="17">
                  <c:v>May</c:v>
                </c:pt>
                <c:pt idx="18">
                  <c:v>June</c:v>
                </c:pt>
                <c:pt idx="19">
                  <c:v>July</c:v>
                </c:pt>
                <c:pt idx="20">
                  <c:v>August</c:v>
                </c:pt>
                <c:pt idx="21">
                  <c:v>September</c:v>
                </c:pt>
                <c:pt idx="22">
                  <c:v>October</c:v>
                </c:pt>
                <c:pt idx="23">
                  <c:v>November</c:v>
                </c:pt>
                <c:pt idx="24">
                  <c:v>December</c:v>
                </c:pt>
                <c:pt idx="25">
                  <c:v>January</c:v>
                </c:pt>
                <c:pt idx="26">
                  <c:v>February</c:v>
                </c:pt>
                <c:pt idx="27">
                  <c:v>March</c:v>
                </c:pt>
                <c:pt idx="28">
                  <c:v>April</c:v>
                </c:pt>
                <c:pt idx="29">
                  <c:v>May</c:v>
                </c:pt>
                <c:pt idx="30">
                  <c:v>June</c:v>
                </c:pt>
                <c:pt idx="31">
                  <c:v>July</c:v>
                </c:pt>
                <c:pt idx="32">
                  <c:v>August</c:v>
                </c:pt>
                <c:pt idx="33">
                  <c:v>September</c:v>
                </c:pt>
                <c:pt idx="34">
                  <c:v>October</c:v>
                </c:pt>
                <c:pt idx="35">
                  <c:v>November</c:v>
                </c:pt>
                <c:pt idx="36">
                  <c:v>December</c:v>
                </c:pt>
                <c:pt idx="37">
                  <c:v>January</c:v>
                </c:pt>
                <c:pt idx="38">
                  <c:v>February</c:v>
                </c:pt>
                <c:pt idx="39">
                  <c:v>March</c:v>
                </c:pt>
                <c:pt idx="40">
                  <c:v>April</c:v>
                </c:pt>
                <c:pt idx="41">
                  <c:v>May</c:v>
                </c:pt>
                <c:pt idx="42">
                  <c:v>June</c:v>
                </c:pt>
                <c:pt idx="43">
                  <c:v>July</c:v>
                </c:pt>
                <c:pt idx="44">
                  <c:v>August</c:v>
                </c:pt>
                <c:pt idx="45">
                  <c:v>September</c:v>
                </c:pt>
                <c:pt idx="46">
                  <c:v>October</c:v>
                </c:pt>
                <c:pt idx="47">
                  <c:v>November</c:v>
                </c:pt>
                <c:pt idx="48">
                  <c:v>December</c:v>
                </c:pt>
                <c:pt idx="49">
                  <c:v>January</c:v>
                </c:pt>
                <c:pt idx="50">
                  <c:v>February</c:v>
                </c:pt>
                <c:pt idx="51">
                  <c:v>March</c:v>
                </c:pt>
                <c:pt idx="52">
                  <c:v>April</c:v>
                </c:pt>
                <c:pt idx="53">
                  <c:v>May</c:v>
                </c:pt>
                <c:pt idx="54">
                  <c:v>June</c:v>
                </c:pt>
              </c:strCache>
            </c:strRef>
          </c:cat>
          <c:val>
            <c:numRef>
              <c:f>'NPV w Mo''ly data chart'!$C$20:$BE$20</c:f>
              <c:numCache>
                <c:formatCode>_(* #,##0_);_(* \(#,##0\);_(* "-"??_);_(@_)</c:formatCode>
                <c:ptCount val="55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5866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6777.9642857142853</c:v>
                </c:pt>
                <c:pt idx="41">
                  <c:v>7471</c:v>
                </c:pt>
                <c:pt idx="42">
                  <c:v>8594.3333333333339</c:v>
                </c:pt>
                <c:pt idx="43">
                  <c:v>9039.8387096774186</c:v>
                </c:pt>
                <c:pt idx="44">
                  <c:v>10846.064516129032</c:v>
                </c:pt>
                <c:pt idx="45">
                  <c:v>10968.3</c:v>
                </c:pt>
                <c:pt idx="46">
                  <c:v>10994.516129032258</c:v>
                </c:pt>
                <c:pt idx="47">
                  <c:v>11756.933333333332</c:v>
                </c:pt>
                <c:pt idx="48">
                  <c:v>11068.4</c:v>
                </c:pt>
                <c:pt idx="49">
                  <c:v>11928.41935483871</c:v>
                </c:pt>
                <c:pt idx="50">
                  <c:v>12408.071428571429</c:v>
                </c:pt>
                <c:pt idx="51">
                  <c:v>12133.483870967742</c:v>
                </c:pt>
                <c:pt idx="52">
                  <c:v>12415.166666666666</c:v>
                </c:pt>
                <c:pt idx="53">
                  <c:v>11592.391304347826</c:v>
                </c:pt>
                <c:pt idx="54">
                  <c:v>13107.2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EF7F-405D-BE05-256CA7A8472B}"/>
            </c:ext>
          </c:extLst>
        </c:ser>
        <c:ser>
          <c:idx val="15"/>
          <c:order val="15"/>
          <c:tx>
            <c:strRef>
              <c:f>'NPV w Mo''ly data chart'!$B$21</c:f>
              <c:strCache>
                <c:ptCount val="1"/>
                <c:pt idx="0">
                  <c:v>WR759 PS008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'NPV w Mo''ly data chart'!$C$2:$BE$3</c15:sqref>
                  </c15:fullRef>
                  <c15:levelRef>
                    <c15:sqref>'NPV w Mo''ly data chart'!$C$2:$BE$2</c15:sqref>
                  </c15:levelRef>
                </c:ext>
              </c:extLst>
              <c:f>'NPV w Mo''ly data chart'!$C$2:$BE$2</c:f>
              <c:strCache>
                <c:ptCount val="55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  <c:pt idx="13">
                  <c:v>January</c:v>
                </c:pt>
                <c:pt idx="14">
                  <c:v>February</c:v>
                </c:pt>
                <c:pt idx="15">
                  <c:v>March</c:v>
                </c:pt>
                <c:pt idx="16">
                  <c:v>April</c:v>
                </c:pt>
                <c:pt idx="17">
                  <c:v>May</c:v>
                </c:pt>
                <c:pt idx="18">
                  <c:v>June</c:v>
                </c:pt>
                <c:pt idx="19">
                  <c:v>July</c:v>
                </c:pt>
                <c:pt idx="20">
                  <c:v>August</c:v>
                </c:pt>
                <c:pt idx="21">
                  <c:v>September</c:v>
                </c:pt>
                <c:pt idx="22">
                  <c:v>October</c:v>
                </c:pt>
                <c:pt idx="23">
                  <c:v>November</c:v>
                </c:pt>
                <c:pt idx="24">
                  <c:v>December</c:v>
                </c:pt>
                <c:pt idx="25">
                  <c:v>January</c:v>
                </c:pt>
                <c:pt idx="26">
                  <c:v>February</c:v>
                </c:pt>
                <c:pt idx="27">
                  <c:v>March</c:v>
                </c:pt>
                <c:pt idx="28">
                  <c:v>April</c:v>
                </c:pt>
                <c:pt idx="29">
                  <c:v>May</c:v>
                </c:pt>
                <c:pt idx="30">
                  <c:v>June</c:v>
                </c:pt>
                <c:pt idx="31">
                  <c:v>July</c:v>
                </c:pt>
                <c:pt idx="32">
                  <c:v>August</c:v>
                </c:pt>
                <c:pt idx="33">
                  <c:v>September</c:v>
                </c:pt>
                <c:pt idx="34">
                  <c:v>October</c:v>
                </c:pt>
                <c:pt idx="35">
                  <c:v>November</c:v>
                </c:pt>
                <c:pt idx="36">
                  <c:v>December</c:v>
                </c:pt>
                <c:pt idx="37">
                  <c:v>January</c:v>
                </c:pt>
                <c:pt idx="38">
                  <c:v>February</c:v>
                </c:pt>
                <c:pt idx="39">
                  <c:v>March</c:v>
                </c:pt>
                <c:pt idx="40">
                  <c:v>April</c:v>
                </c:pt>
                <c:pt idx="41">
                  <c:v>May</c:v>
                </c:pt>
                <c:pt idx="42">
                  <c:v>June</c:v>
                </c:pt>
                <c:pt idx="43">
                  <c:v>July</c:v>
                </c:pt>
                <c:pt idx="44">
                  <c:v>August</c:v>
                </c:pt>
                <c:pt idx="45">
                  <c:v>September</c:v>
                </c:pt>
                <c:pt idx="46">
                  <c:v>October</c:v>
                </c:pt>
                <c:pt idx="47">
                  <c:v>November</c:v>
                </c:pt>
                <c:pt idx="48">
                  <c:v>December</c:v>
                </c:pt>
                <c:pt idx="49">
                  <c:v>January</c:v>
                </c:pt>
                <c:pt idx="50">
                  <c:v>February</c:v>
                </c:pt>
                <c:pt idx="51">
                  <c:v>March</c:v>
                </c:pt>
                <c:pt idx="52">
                  <c:v>April</c:v>
                </c:pt>
                <c:pt idx="53">
                  <c:v>May</c:v>
                </c:pt>
                <c:pt idx="54">
                  <c:v>June</c:v>
                </c:pt>
              </c:strCache>
            </c:strRef>
          </c:cat>
          <c:val>
            <c:numRef>
              <c:f>'NPV w Mo''ly data chart'!$C$21:$BE$21</c:f>
              <c:numCache>
                <c:formatCode>_(* #,##0_);_(* \(#,##0\);_(* "-"??_);_(@_)</c:formatCode>
                <c:ptCount val="55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8001.0555555555557</c:v>
                </c:pt>
                <c:pt idx="49">
                  <c:v>10143.387096774193</c:v>
                </c:pt>
                <c:pt idx="50">
                  <c:v>11468.535714285714</c:v>
                </c:pt>
                <c:pt idx="51">
                  <c:v>11491.58064516129</c:v>
                </c:pt>
                <c:pt idx="52">
                  <c:v>10493.333333333334</c:v>
                </c:pt>
                <c:pt idx="53">
                  <c:v>10721.608695652174</c:v>
                </c:pt>
                <c:pt idx="54">
                  <c:v>11041.6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F7F-405D-BE05-256CA7A847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4875016"/>
        <c:axId val="54487895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'NPV w Mo''ly data chart'!$B$4</c15:sqref>
                        </c15:formulaRef>
                      </c:ext>
                    </c:extLst>
                    <c:strCache>
                      <c:ptCount val="1"/>
                      <c:pt idx="0">
                        <c:v>BRENT 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'NPV w Mo''ly data chart'!$C$2:$BE$3</c15:sqref>
                        </c15:fullRef>
                        <c15:levelRef>
                          <c15:sqref>'NPV w Mo''ly data chart'!$C$2:$BE$2</c15:sqref>
                        </c15:levelRef>
                        <c15:formulaRef>
                          <c15:sqref>'NPV w Mo''ly data chart'!$C$2:$BE$2</c15:sqref>
                        </c15:formulaRef>
                      </c:ext>
                    </c:extLst>
                    <c:strCache>
                      <c:ptCount val="55"/>
                      <c:pt idx="0">
                        <c:v>December</c:v>
                      </c:pt>
                      <c:pt idx="1">
                        <c:v>January</c:v>
                      </c:pt>
                      <c:pt idx="2">
                        <c:v>February</c:v>
                      </c:pt>
                      <c:pt idx="3">
                        <c:v>March</c:v>
                      </c:pt>
                      <c:pt idx="4">
                        <c:v>April</c:v>
                      </c:pt>
                      <c:pt idx="5">
                        <c:v>May</c:v>
                      </c:pt>
                      <c:pt idx="6">
                        <c:v>June</c:v>
                      </c:pt>
                      <c:pt idx="7">
                        <c:v>July</c:v>
                      </c:pt>
                      <c:pt idx="8">
                        <c:v>August</c:v>
                      </c:pt>
                      <c:pt idx="9">
                        <c:v>September</c:v>
                      </c:pt>
                      <c:pt idx="10">
                        <c:v>October</c:v>
                      </c:pt>
                      <c:pt idx="11">
                        <c:v>November</c:v>
                      </c:pt>
                      <c:pt idx="12">
                        <c:v>December</c:v>
                      </c:pt>
                      <c:pt idx="13">
                        <c:v>January</c:v>
                      </c:pt>
                      <c:pt idx="14">
                        <c:v>February</c:v>
                      </c:pt>
                      <c:pt idx="15">
                        <c:v>March</c:v>
                      </c:pt>
                      <c:pt idx="16">
                        <c:v>April</c:v>
                      </c:pt>
                      <c:pt idx="17">
                        <c:v>May</c:v>
                      </c:pt>
                      <c:pt idx="18">
                        <c:v>June</c:v>
                      </c:pt>
                      <c:pt idx="19">
                        <c:v>July</c:v>
                      </c:pt>
                      <c:pt idx="20">
                        <c:v>August</c:v>
                      </c:pt>
                      <c:pt idx="21">
                        <c:v>September</c:v>
                      </c:pt>
                      <c:pt idx="22">
                        <c:v>October</c:v>
                      </c:pt>
                      <c:pt idx="23">
                        <c:v>November</c:v>
                      </c:pt>
                      <c:pt idx="24">
                        <c:v>December</c:v>
                      </c:pt>
                      <c:pt idx="25">
                        <c:v>January</c:v>
                      </c:pt>
                      <c:pt idx="26">
                        <c:v>February</c:v>
                      </c:pt>
                      <c:pt idx="27">
                        <c:v>March</c:v>
                      </c:pt>
                      <c:pt idx="28">
                        <c:v>April</c:v>
                      </c:pt>
                      <c:pt idx="29">
                        <c:v>May</c:v>
                      </c:pt>
                      <c:pt idx="30">
                        <c:v>June</c:v>
                      </c:pt>
                      <c:pt idx="31">
                        <c:v>July</c:v>
                      </c:pt>
                      <c:pt idx="32">
                        <c:v>August</c:v>
                      </c:pt>
                      <c:pt idx="33">
                        <c:v>September</c:v>
                      </c:pt>
                      <c:pt idx="34">
                        <c:v>October</c:v>
                      </c:pt>
                      <c:pt idx="35">
                        <c:v>November</c:v>
                      </c:pt>
                      <c:pt idx="36">
                        <c:v>December</c:v>
                      </c:pt>
                      <c:pt idx="37">
                        <c:v>January</c:v>
                      </c:pt>
                      <c:pt idx="38">
                        <c:v>February</c:v>
                      </c:pt>
                      <c:pt idx="39">
                        <c:v>March</c:v>
                      </c:pt>
                      <c:pt idx="40">
                        <c:v>April</c:v>
                      </c:pt>
                      <c:pt idx="41">
                        <c:v>May</c:v>
                      </c:pt>
                      <c:pt idx="42">
                        <c:v>June</c:v>
                      </c:pt>
                      <c:pt idx="43">
                        <c:v>July</c:v>
                      </c:pt>
                      <c:pt idx="44">
                        <c:v>August</c:v>
                      </c:pt>
                      <c:pt idx="45">
                        <c:v>September</c:v>
                      </c:pt>
                      <c:pt idx="46">
                        <c:v>October</c:v>
                      </c:pt>
                      <c:pt idx="47">
                        <c:v>November</c:v>
                      </c:pt>
                      <c:pt idx="48">
                        <c:v>December</c:v>
                      </c:pt>
                      <c:pt idx="49">
                        <c:v>January</c:v>
                      </c:pt>
                      <c:pt idx="50">
                        <c:v>February</c:v>
                      </c:pt>
                      <c:pt idx="51">
                        <c:v>March</c:v>
                      </c:pt>
                      <c:pt idx="52">
                        <c:v>April</c:v>
                      </c:pt>
                      <c:pt idx="53">
                        <c:v>May</c:v>
                      </c:pt>
                      <c:pt idx="54">
                        <c:v>June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'NPV w Mo''ly data chart'!$C$4:$BE$4</c15:sqref>
                        </c15:formulaRef>
                      </c:ext>
                    </c:extLst>
                    <c:numCache>
                      <c:formatCode>"$"#,##0.00</c:formatCode>
                      <c:ptCount val="55"/>
                      <c:pt idx="0">
                        <c:v>62.34</c:v>
                      </c:pt>
                      <c:pt idx="1">
                        <c:v>47.76</c:v>
                      </c:pt>
                      <c:pt idx="2">
                        <c:v>58.1</c:v>
                      </c:pt>
                      <c:pt idx="3">
                        <c:v>55.89</c:v>
                      </c:pt>
                      <c:pt idx="4">
                        <c:v>59.52</c:v>
                      </c:pt>
                      <c:pt idx="5">
                        <c:v>64.08</c:v>
                      </c:pt>
                      <c:pt idx="6">
                        <c:v>61.48</c:v>
                      </c:pt>
                      <c:pt idx="7">
                        <c:v>56.56</c:v>
                      </c:pt>
                      <c:pt idx="8">
                        <c:v>46.52</c:v>
                      </c:pt>
                      <c:pt idx="9">
                        <c:v>47.62</c:v>
                      </c:pt>
                      <c:pt idx="10">
                        <c:v>48.43</c:v>
                      </c:pt>
                      <c:pt idx="11">
                        <c:v>44.27</c:v>
                      </c:pt>
                      <c:pt idx="12">
                        <c:v>38.01</c:v>
                      </c:pt>
                      <c:pt idx="13">
                        <c:v>30.7</c:v>
                      </c:pt>
                      <c:pt idx="14">
                        <c:v>32.18</c:v>
                      </c:pt>
                      <c:pt idx="15">
                        <c:v>38.21</c:v>
                      </c:pt>
                      <c:pt idx="16">
                        <c:v>41.58</c:v>
                      </c:pt>
                      <c:pt idx="17">
                        <c:v>46.74</c:v>
                      </c:pt>
                      <c:pt idx="18">
                        <c:v>48.25</c:v>
                      </c:pt>
                      <c:pt idx="19">
                        <c:v>44.95</c:v>
                      </c:pt>
                      <c:pt idx="20">
                        <c:v>45.84</c:v>
                      </c:pt>
                      <c:pt idx="21">
                        <c:v>46.57</c:v>
                      </c:pt>
                      <c:pt idx="22">
                        <c:v>49.52</c:v>
                      </c:pt>
                      <c:pt idx="23">
                        <c:v>44.73</c:v>
                      </c:pt>
                      <c:pt idx="24">
                        <c:v>53.31</c:v>
                      </c:pt>
                      <c:pt idx="25">
                        <c:v>54.58</c:v>
                      </c:pt>
                      <c:pt idx="26">
                        <c:v>54.87</c:v>
                      </c:pt>
                      <c:pt idx="27">
                        <c:v>51.59</c:v>
                      </c:pt>
                      <c:pt idx="28">
                        <c:v>52.31</c:v>
                      </c:pt>
                      <c:pt idx="29">
                        <c:v>50.33</c:v>
                      </c:pt>
                      <c:pt idx="30">
                        <c:v>46.37</c:v>
                      </c:pt>
                      <c:pt idx="31">
                        <c:v>48.48</c:v>
                      </c:pt>
                      <c:pt idx="32">
                        <c:v>51.7</c:v>
                      </c:pt>
                      <c:pt idx="33">
                        <c:v>56.15</c:v>
                      </c:pt>
                      <c:pt idx="34">
                        <c:v>57.51</c:v>
                      </c:pt>
                      <c:pt idx="35">
                        <c:v>62.71</c:v>
                      </c:pt>
                      <c:pt idx="36">
                        <c:v>64.37</c:v>
                      </c:pt>
                      <c:pt idx="37">
                        <c:v>69.08</c:v>
                      </c:pt>
                      <c:pt idx="38">
                        <c:v>65.319999999999993</c:v>
                      </c:pt>
                      <c:pt idx="39">
                        <c:v>66.02</c:v>
                      </c:pt>
                      <c:pt idx="40">
                        <c:v>72.11</c:v>
                      </c:pt>
                      <c:pt idx="41">
                        <c:v>76.98</c:v>
                      </c:pt>
                      <c:pt idx="42">
                        <c:v>74.41</c:v>
                      </c:pt>
                      <c:pt idx="43">
                        <c:v>74.25</c:v>
                      </c:pt>
                      <c:pt idx="44">
                        <c:v>72.53</c:v>
                      </c:pt>
                      <c:pt idx="45">
                        <c:v>78.89</c:v>
                      </c:pt>
                      <c:pt idx="46">
                        <c:v>81.03</c:v>
                      </c:pt>
                      <c:pt idx="47">
                        <c:v>64.75</c:v>
                      </c:pt>
                      <c:pt idx="48">
                        <c:v>57.36</c:v>
                      </c:pt>
                      <c:pt idx="49">
                        <c:v>59.41</c:v>
                      </c:pt>
                      <c:pt idx="50">
                        <c:v>63.96</c:v>
                      </c:pt>
                      <c:pt idx="51">
                        <c:v>66.14</c:v>
                      </c:pt>
                      <c:pt idx="52">
                        <c:v>71.23</c:v>
                      </c:pt>
                      <c:pt idx="53">
                        <c:v>71.319999999999993</c:v>
                      </c:pt>
                      <c:pt idx="54">
                        <c:v>64.22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F-EF7F-405D-BE05-256CA7A8472B}"/>
                  </c:ext>
                </c:extLst>
              </c15:ser>
            </c15:filteredLineSeries>
          </c:ext>
        </c:extLst>
      </c:lineChart>
      <c:catAx>
        <c:axId val="544875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4878952"/>
        <c:crosses val="autoZero"/>
        <c:auto val="1"/>
        <c:lblAlgn val="ctr"/>
        <c:lblOffset val="100"/>
        <c:noMultiLvlLbl val="0"/>
      </c:catAx>
      <c:valAx>
        <c:axId val="544878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4875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213254</xdr:colOff>
      <xdr:row>34</xdr:row>
      <xdr:rowOff>23285</xdr:rowOff>
    </xdr:from>
    <xdr:to>
      <xdr:col>15</xdr:col>
      <xdr:colOff>547688</xdr:colOff>
      <xdr:row>74</xdr:row>
      <xdr:rowOff>71438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533AFC-4D13-464B-8E87-1C3FB5CC66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47</xdr:col>
      <xdr:colOff>0</xdr:colOff>
      <xdr:row>34</xdr:row>
      <xdr:rowOff>0</xdr:rowOff>
    </xdr:from>
    <xdr:to>
      <xdr:col>60</xdr:col>
      <xdr:colOff>175684</xdr:colOff>
      <xdr:row>74</xdr:row>
      <xdr:rowOff>48153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FDD9C7A-7AE2-46CE-83B8-4732CE20F4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CEB07-196B-449E-BF09-0A2270B80F8B}">
  <dimension ref="A1:BI42"/>
  <sheetViews>
    <sheetView tabSelected="1" zoomScale="80" zoomScaleNormal="80" workbookViewId="0">
      <pane xSplit="2" ySplit="4" topLeftCell="AU10" activePane="bottomRight" state="frozen"/>
      <selection pane="topRight" activeCell="C1" sqref="C1"/>
      <selection pane="bottomLeft" activeCell="A5" sqref="A5"/>
      <selection pane="bottomRight" activeCell="BG26" sqref="BG26"/>
    </sheetView>
  </sheetViews>
  <sheetFormatPr defaultRowHeight="13.2" x14ac:dyDescent="0.25"/>
  <cols>
    <col min="1" max="1" width="15" customWidth="1"/>
    <col min="2" max="2" width="20.88671875" customWidth="1"/>
    <col min="3" max="3" width="14.88671875" bestFit="1" customWidth="1"/>
    <col min="4" max="5" width="13.44140625" bestFit="1" customWidth="1"/>
    <col min="6" max="6" width="12.33203125" bestFit="1" customWidth="1"/>
    <col min="7" max="7" width="13.44140625" bestFit="1" customWidth="1"/>
    <col min="8" max="9" width="12.33203125" bestFit="1" customWidth="1"/>
    <col min="10" max="10" width="13.44140625" bestFit="1" customWidth="1"/>
    <col min="11" max="11" width="12.33203125" bestFit="1" customWidth="1"/>
    <col min="12" max="12" width="12.5546875" bestFit="1" customWidth="1"/>
    <col min="13" max="13" width="12.33203125" bestFit="1" customWidth="1"/>
    <col min="14" max="14" width="12.44140625" bestFit="1" customWidth="1"/>
    <col min="15" max="18" width="12.33203125" bestFit="1" customWidth="1"/>
    <col min="19" max="19" width="13.44140625" bestFit="1" customWidth="1"/>
    <col min="20" max="20" width="12.33203125" bestFit="1" customWidth="1"/>
    <col min="21" max="21" width="13.44140625" bestFit="1" customWidth="1"/>
    <col min="22" max="22" width="12.33203125" bestFit="1" customWidth="1"/>
    <col min="23" max="23" width="13.44140625" bestFit="1" customWidth="1"/>
    <col min="24" max="24" width="12.5546875" bestFit="1" customWidth="1"/>
    <col min="25" max="25" width="13.44140625" bestFit="1" customWidth="1"/>
    <col min="26" max="26" width="12.44140625" bestFit="1" customWidth="1"/>
    <col min="27" max="42" width="13.44140625" bestFit="1" customWidth="1"/>
    <col min="43" max="43" width="14.88671875" bestFit="1" customWidth="1"/>
    <col min="44" max="57" width="13.44140625" bestFit="1" customWidth="1"/>
    <col min="58" max="58" width="15.88671875" bestFit="1" customWidth="1"/>
    <col min="59" max="59" width="11" bestFit="1" customWidth="1"/>
  </cols>
  <sheetData>
    <row r="1" spans="1:59" s="6" customFormat="1" ht="15.6" x14ac:dyDescent="0.25">
      <c r="A1" s="58" t="s">
        <v>44</v>
      </c>
      <c r="B1" s="59"/>
      <c r="C1" s="41"/>
      <c r="D1" s="35">
        <v>2015</v>
      </c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>
        <v>2016</v>
      </c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>
        <v>2017</v>
      </c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">
        <v>2018</v>
      </c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">
        <v>2019</v>
      </c>
      <c r="BA1" s="35"/>
      <c r="BB1" s="35"/>
      <c r="BC1" s="35"/>
      <c r="BD1" s="35"/>
      <c r="BE1" s="35"/>
    </row>
    <row r="2" spans="1:59" s="6" customFormat="1" ht="15.6" x14ac:dyDescent="0.25">
      <c r="A2" s="59"/>
      <c r="B2" s="59"/>
      <c r="C2" s="41" t="s">
        <v>11</v>
      </c>
      <c r="D2" s="3" t="s">
        <v>0</v>
      </c>
      <c r="E2" s="3" t="s">
        <v>1</v>
      </c>
      <c r="F2" s="3" t="s">
        <v>2</v>
      </c>
      <c r="G2" s="3" t="s">
        <v>3</v>
      </c>
      <c r="H2" s="3" t="s">
        <v>4</v>
      </c>
      <c r="I2" s="3" t="s">
        <v>5</v>
      </c>
      <c r="J2" s="3" t="s">
        <v>6</v>
      </c>
      <c r="K2" s="3" t="s">
        <v>7</v>
      </c>
      <c r="L2" s="3" t="s">
        <v>8</v>
      </c>
      <c r="M2" s="3" t="s">
        <v>9</v>
      </c>
      <c r="N2" s="3" t="s">
        <v>10</v>
      </c>
      <c r="O2" s="3" t="s">
        <v>11</v>
      </c>
      <c r="P2" s="41" t="s">
        <v>0</v>
      </c>
      <c r="Q2" s="41" t="s">
        <v>1</v>
      </c>
      <c r="R2" s="41" t="s">
        <v>2</v>
      </c>
      <c r="S2" s="41" t="s">
        <v>3</v>
      </c>
      <c r="T2" s="41" t="s">
        <v>4</v>
      </c>
      <c r="U2" s="41" t="s">
        <v>5</v>
      </c>
      <c r="V2" s="41" t="s">
        <v>6</v>
      </c>
      <c r="W2" s="41" t="s">
        <v>7</v>
      </c>
      <c r="X2" s="41" t="s">
        <v>8</v>
      </c>
      <c r="Y2" s="41" t="s">
        <v>9</v>
      </c>
      <c r="Z2" s="41" t="s">
        <v>10</v>
      </c>
      <c r="AA2" s="41" t="s">
        <v>11</v>
      </c>
      <c r="AB2" s="3" t="s">
        <v>0</v>
      </c>
      <c r="AC2" s="3" t="s">
        <v>1</v>
      </c>
      <c r="AD2" s="3" t="s">
        <v>2</v>
      </c>
      <c r="AE2" s="3" t="s">
        <v>3</v>
      </c>
      <c r="AF2" s="3" t="s">
        <v>4</v>
      </c>
      <c r="AG2" s="3" t="s">
        <v>5</v>
      </c>
      <c r="AH2" s="3" t="s">
        <v>6</v>
      </c>
      <c r="AI2" s="3" t="s">
        <v>7</v>
      </c>
      <c r="AJ2" s="3" t="s">
        <v>8</v>
      </c>
      <c r="AK2" s="3" t="s">
        <v>9</v>
      </c>
      <c r="AL2" s="3" t="s">
        <v>10</v>
      </c>
      <c r="AM2" s="3" t="s">
        <v>11</v>
      </c>
      <c r="AN2" s="3" t="s">
        <v>0</v>
      </c>
      <c r="AO2" s="3" t="s">
        <v>1</v>
      </c>
      <c r="AP2" s="3" t="s">
        <v>2</v>
      </c>
      <c r="AQ2" s="3" t="s">
        <v>3</v>
      </c>
      <c r="AR2" s="3" t="s">
        <v>4</v>
      </c>
      <c r="AS2" s="3" t="s">
        <v>5</v>
      </c>
      <c r="AT2" s="3" t="s">
        <v>6</v>
      </c>
      <c r="AU2" s="3" t="s">
        <v>7</v>
      </c>
      <c r="AV2" s="3" t="s">
        <v>8</v>
      </c>
      <c r="AW2" s="3" t="s">
        <v>9</v>
      </c>
      <c r="AX2" s="3" t="s">
        <v>10</v>
      </c>
      <c r="AY2" s="3" t="s">
        <v>11</v>
      </c>
      <c r="AZ2" s="3" t="s">
        <v>0</v>
      </c>
      <c r="BA2" s="3" t="s">
        <v>1</v>
      </c>
      <c r="BB2" s="3" t="s">
        <v>2</v>
      </c>
      <c r="BC2" s="3" t="s">
        <v>3</v>
      </c>
      <c r="BD2" s="3" t="s">
        <v>4</v>
      </c>
      <c r="BE2" s="3" t="s">
        <v>5</v>
      </c>
    </row>
    <row r="3" spans="1:59" s="6" customFormat="1" ht="15.6" x14ac:dyDescent="0.25">
      <c r="A3" s="59"/>
      <c r="B3" s="59"/>
      <c r="C3" s="41">
        <v>31</v>
      </c>
      <c r="D3" s="3">
        <v>31</v>
      </c>
      <c r="E3" s="3">
        <v>28</v>
      </c>
      <c r="F3" s="3">
        <v>31</v>
      </c>
      <c r="G3" s="3">
        <v>30</v>
      </c>
      <c r="H3" s="3">
        <v>31</v>
      </c>
      <c r="I3" s="3">
        <v>30</v>
      </c>
      <c r="J3" s="3">
        <v>31</v>
      </c>
      <c r="K3" s="3">
        <v>31</v>
      </c>
      <c r="L3" s="3">
        <v>30</v>
      </c>
      <c r="M3" s="3">
        <v>31</v>
      </c>
      <c r="N3" s="3">
        <v>30</v>
      </c>
      <c r="O3" s="3">
        <v>31</v>
      </c>
      <c r="P3" s="41">
        <v>31</v>
      </c>
      <c r="Q3" s="41">
        <v>28</v>
      </c>
      <c r="R3" s="41">
        <v>31</v>
      </c>
      <c r="S3" s="41">
        <v>30</v>
      </c>
      <c r="T3" s="41">
        <v>31</v>
      </c>
      <c r="U3" s="41">
        <v>30</v>
      </c>
      <c r="V3" s="41">
        <v>31</v>
      </c>
      <c r="W3" s="41">
        <v>31</v>
      </c>
      <c r="X3" s="41">
        <v>30</v>
      </c>
      <c r="Y3" s="41">
        <v>31</v>
      </c>
      <c r="Z3" s="41">
        <v>30</v>
      </c>
      <c r="AA3" s="41">
        <v>31</v>
      </c>
      <c r="AB3" s="3">
        <v>31</v>
      </c>
      <c r="AC3" s="3">
        <v>28</v>
      </c>
      <c r="AD3" s="3">
        <v>31</v>
      </c>
      <c r="AE3" s="3">
        <v>30</v>
      </c>
      <c r="AF3" s="3">
        <v>31</v>
      </c>
      <c r="AG3" s="3">
        <v>30</v>
      </c>
      <c r="AH3" s="3">
        <v>31</v>
      </c>
      <c r="AI3" s="3">
        <v>31</v>
      </c>
      <c r="AJ3" s="3">
        <v>30</v>
      </c>
      <c r="AK3" s="3">
        <v>31</v>
      </c>
      <c r="AL3" s="3">
        <v>30</v>
      </c>
      <c r="AM3" s="3">
        <v>31</v>
      </c>
      <c r="AN3" s="3">
        <v>31</v>
      </c>
      <c r="AO3" s="3">
        <v>28</v>
      </c>
      <c r="AP3" s="3">
        <v>31</v>
      </c>
      <c r="AQ3" s="3">
        <v>30</v>
      </c>
      <c r="AR3" s="3">
        <v>31</v>
      </c>
      <c r="AS3" s="3">
        <v>30</v>
      </c>
      <c r="AT3" s="3">
        <v>31</v>
      </c>
      <c r="AU3" s="3">
        <v>31</v>
      </c>
      <c r="AV3" s="3">
        <v>30</v>
      </c>
      <c r="AW3" s="3">
        <v>31</v>
      </c>
      <c r="AX3" s="3">
        <v>30</v>
      </c>
      <c r="AY3" s="3">
        <v>31</v>
      </c>
      <c r="AZ3" s="3">
        <v>31</v>
      </c>
      <c r="BA3" s="3">
        <v>28</v>
      </c>
      <c r="BB3" s="3">
        <v>31</v>
      </c>
      <c r="BC3" s="3">
        <v>30</v>
      </c>
      <c r="BD3" s="3">
        <v>31</v>
      </c>
      <c r="BE3" s="3">
        <v>30</v>
      </c>
      <c r="BF3" s="51">
        <f>SUM(C3:BE3)</f>
        <v>1672</v>
      </c>
      <c r="BG3" s="52" t="s">
        <v>56</v>
      </c>
    </row>
    <row r="4" spans="1:59" ht="15.6" x14ac:dyDescent="0.25">
      <c r="A4" s="1"/>
      <c r="B4" s="40" t="s">
        <v>35</v>
      </c>
      <c r="C4" s="23">
        <v>62.34</v>
      </c>
      <c r="D4" s="23">
        <v>47.76</v>
      </c>
      <c r="E4" s="23">
        <v>58.1</v>
      </c>
      <c r="F4" s="23">
        <v>55.89</v>
      </c>
      <c r="G4" s="23">
        <v>59.52</v>
      </c>
      <c r="H4" s="23">
        <v>64.08</v>
      </c>
      <c r="I4" s="23">
        <v>61.48</v>
      </c>
      <c r="J4" s="23">
        <v>56.56</v>
      </c>
      <c r="K4" s="23">
        <v>46.52</v>
      </c>
      <c r="L4" s="23">
        <v>47.62</v>
      </c>
      <c r="M4" s="23">
        <v>48.43</v>
      </c>
      <c r="N4" s="23">
        <v>44.27</v>
      </c>
      <c r="O4" s="23">
        <v>38.01</v>
      </c>
      <c r="P4" s="23">
        <v>30.7</v>
      </c>
      <c r="Q4" s="23">
        <v>32.18</v>
      </c>
      <c r="R4" s="23">
        <v>38.21</v>
      </c>
      <c r="S4" s="23">
        <v>41.58</v>
      </c>
      <c r="T4" s="23">
        <v>46.74</v>
      </c>
      <c r="U4" s="23">
        <v>48.25</v>
      </c>
      <c r="V4" s="23">
        <v>44.95</v>
      </c>
      <c r="W4" s="23">
        <v>45.84</v>
      </c>
      <c r="X4" s="23">
        <v>46.57</v>
      </c>
      <c r="Y4" s="23">
        <v>49.52</v>
      </c>
      <c r="Z4" s="23">
        <v>44.73</v>
      </c>
      <c r="AA4" s="23">
        <v>53.31</v>
      </c>
      <c r="AB4" s="23">
        <v>54.58</v>
      </c>
      <c r="AC4" s="23">
        <v>54.87</v>
      </c>
      <c r="AD4" s="23">
        <v>51.59</v>
      </c>
      <c r="AE4" s="23">
        <v>52.31</v>
      </c>
      <c r="AF4" s="23">
        <v>50.33</v>
      </c>
      <c r="AG4" s="23">
        <v>46.37</v>
      </c>
      <c r="AH4" s="23">
        <v>48.48</v>
      </c>
      <c r="AI4" s="23">
        <v>51.7</v>
      </c>
      <c r="AJ4" s="23">
        <v>56.15</v>
      </c>
      <c r="AK4" s="23">
        <v>57.51</v>
      </c>
      <c r="AL4" s="23">
        <v>62.71</v>
      </c>
      <c r="AM4" s="23">
        <v>64.37</v>
      </c>
      <c r="AN4" s="23">
        <v>69.08</v>
      </c>
      <c r="AO4" s="23">
        <v>65.319999999999993</v>
      </c>
      <c r="AP4" s="23">
        <v>66.02</v>
      </c>
      <c r="AQ4" s="23">
        <v>72.11</v>
      </c>
      <c r="AR4" s="23">
        <v>76.98</v>
      </c>
      <c r="AS4" s="23">
        <v>74.41</v>
      </c>
      <c r="AT4" s="23">
        <v>74.25</v>
      </c>
      <c r="AU4" s="23">
        <v>72.53</v>
      </c>
      <c r="AV4" s="23">
        <v>78.89</v>
      </c>
      <c r="AW4" s="23">
        <v>81.03</v>
      </c>
      <c r="AX4" s="23">
        <v>64.75</v>
      </c>
      <c r="AY4" s="23">
        <v>57.36</v>
      </c>
      <c r="AZ4" s="23">
        <v>59.41</v>
      </c>
      <c r="BA4" s="23">
        <v>63.96</v>
      </c>
      <c r="BB4" s="23">
        <v>66.14</v>
      </c>
      <c r="BC4" s="23">
        <v>71.23</v>
      </c>
      <c r="BD4" s="23">
        <v>71.319999999999993</v>
      </c>
      <c r="BE4" s="36">
        <v>64.22</v>
      </c>
      <c r="BF4" s="37" t="s">
        <v>39</v>
      </c>
      <c r="BG4" s="37" t="s">
        <v>45</v>
      </c>
    </row>
    <row r="5" spans="1:59" ht="15.6" x14ac:dyDescent="0.25">
      <c r="A5" s="16" t="s">
        <v>28</v>
      </c>
      <c r="B5" s="1" t="s">
        <v>12</v>
      </c>
      <c r="C5" s="2">
        <v>0</v>
      </c>
      <c r="D5" s="10">
        <f>167546/21</f>
        <v>7978.3809523809523</v>
      </c>
      <c r="E5" s="2">
        <f>226619/23</f>
        <v>9853</v>
      </c>
      <c r="F5" s="2">
        <f>342308/31</f>
        <v>11042.193548387097</v>
      </c>
      <c r="G5" s="2">
        <f>322466/30</f>
        <v>10748.866666666667</v>
      </c>
      <c r="H5" s="2">
        <f>316405/31</f>
        <v>10206.612903225807</v>
      </c>
      <c r="I5" s="2">
        <f>306165/30</f>
        <v>10205.5</v>
      </c>
      <c r="J5" s="2">
        <f>211877/21</f>
        <v>10089.380952380952</v>
      </c>
      <c r="K5" s="2">
        <f>294052/31</f>
        <v>9485.5483870967746</v>
      </c>
      <c r="L5" s="2">
        <f>282958/30</f>
        <v>9431.9333333333325</v>
      </c>
      <c r="M5" s="2">
        <f>274180/31</f>
        <v>8844.5161290322576</v>
      </c>
      <c r="N5" s="2">
        <f>206547/27</f>
        <v>7649.8888888888887</v>
      </c>
      <c r="O5" s="2">
        <f>248237/31</f>
        <v>8007.6451612903229</v>
      </c>
      <c r="P5" s="2">
        <f>249234/31</f>
        <v>8039.8064516129034</v>
      </c>
      <c r="Q5" s="2">
        <f>230639/29</f>
        <v>7953.0689655172409</v>
      </c>
      <c r="R5" s="2">
        <f>253391/31</f>
        <v>8173.9032258064517</v>
      </c>
      <c r="S5" s="2">
        <f>228788/30</f>
        <v>7626.2666666666664</v>
      </c>
      <c r="T5" s="2">
        <f>243687/31</f>
        <v>7860.8709677419356</v>
      </c>
      <c r="U5" s="2">
        <f>238057/30</f>
        <v>7935.2333333333336</v>
      </c>
      <c r="V5" s="2">
        <f>211546/31</f>
        <v>6824.0645161290322</v>
      </c>
      <c r="W5" s="2">
        <f>207125/31</f>
        <v>6681.4516129032254</v>
      </c>
      <c r="X5" s="2">
        <f>195949/30</f>
        <v>6531.6333333333332</v>
      </c>
      <c r="Y5" s="2">
        <f>189652/31</f>
        <v>6117.8064516129034</v>
      </c>
      <c r="Z5" s="2">
        <f>168204/28</f>
        <v>6007.2857142857147</v>
      </c>
      <c r="AA5" s="2">
        <f>193457/31</f>
        <v>6240.5483870967746</v>
      </c>
      <c r="AB5" s="2">
        <f>187181/31</f>
        <v>6038.0967741935483</v>
      </c>
      <c r="AC5" s="2">
        <f>165969/28</f>
        <v>5927.4642857142853</v>
      </c>
      <c r="AD5" s="2">
        <f>186369/31</f>
        <v>6011.9032258064517</v>
      </c>
      <c r="AE5" s="2">
        <f>180402/30</f>
        <v>6013.4</v>
      </c>
      <c r="AF5" s="2">
        <f>175063/31</f>
        <v>5647.1935483870966</v>
      </c>
      <c r="AG5" s="2">
        <f>178065/30</f>
        <v>5935.5</v>
      </c>
      <c r="AH5" s="2">
        <f>189530/31</f>
        <v>6113.8709677419356</v>
      </c>
      <c r="AI5" s="2">
        <f>174580/31</f>
        <v>5631.6129032258068</v>
      </c>
      <c r="AJ5" s="2">
        <f>186721/30</f>
        <v>6224.0333333333338</v>
      </c>
      <c r="AK5" s="2">
        <f>159129/28</f>
        <v>5683.1785714285716</v>
      </c>
      <c r="AL5" s="2">
        <f>179619/30</f>
        <v>5987.3</v>
      </c>
      <c r="AM5" s="2">
        <f>188870/31</f>
        <v>6092.5806451612907</v>
      </c>
      <c r="AN5" s="2">
        <f>184284/31</f>
        <v>5944.6451612903229</v>
      </c>
      <c r="AO5" s="2">
        <f>170017/28</f>
        <v>6072.0357142857147</v>
      </c>
      <c r="AP5" s="2">
        <f>187393/31</f>
        <v>6044.9354838709678</v>
      </c>
      <c r="AQ5" s="2">
        <f>168353/30</f>
        <v>5611.7666666666664</v>
      </c>
      <c r="AR5" s="2">
        <f>191462/31</f>
        <v>6176.1935483870966</v>
      </c>
      <c r="AS5" s="2">
        <f>180077/30</f>
        <v>6002.5666666666666</v>
      </c>
      <c r="AT5" s="2">
        <f>199779/31</f>
        <v>6444.4838709677415</v>
      </c>
      <c r="AU5" s="2">
        <f>213432/31</f>
        <v>6884.9032258064517</v>
      </c>
      <c r="AV5" s="2">
        <f>198290/30</f>
        <v>6609.666666666667</v>
      </c>
      <c r="AW5" s="2">
        <f>200657/31</f>
        <v>6472.8064516129034</v>
      </c>
      <c r="AX5" s="2">
        <f>168336/29</f>
        <v>5804.6896551724139</v>
      </c>
      <c r="AY5" s="2">
        <f>185848/31</f>
        <v>5995.0967741935483</v>
      </c>
      <c r="AZ5" s="2">
        <f>185852/31</f>
        <v>5995.2258064516127</v>
      </c>
      <c r="BA5" s="2">
        <f>159748/28</f>
        <v>5705.2857142857147</v>
      </c>
      <c r="BB5" s="2">
        <f>170732/31</f>
        <v>5507.4838709677415</v>
      </c>
      <c r="BC5" s="2">
        <f>169317/30</f>
        <v>5643.9</v>
      </c>
      <c r="BD5" s="2">
        <f>119740/22</f>
        <v>5442.727272727273</v>
      </c>
      <c r="BE5" s="2">
        <f>157302/30</f>
        <v>5243.4</v>
      </c>
      <c r="BF5" s="38">
        <f>AVERAGE(D5:BE5)</f>
        <v>7008.2102472913803</v>
      </c>
      <c r="BG5" s="38">
        <f>MAX(C5:BE5)</f>
        <v>11042.193548387097</v>
      </c>
    </row>
    <row r="6" spans="1:59" ht="15.6" x14ac:dyDescent="0.25">
      <c r="A6" s="16" t="s">
        <v>28</v>
      </c>
      <c r="B6" s="1" t="s">
        <v>13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10">
        <f>236174/22</f>
        <v>10735.181818181818</v>
      </c>
      <c r="V6" s="2">
        <f>376881/31</f>
        <v>12157.451612903225</v>
      </c>
      <c r="W6" s="2">
        <f>378749/31</f>
        <v>12217.709677419354</v>
      </c>
      <c r="X6" s="2">
        <f>381372/30</f>
        <v>12712.4</v>
      </c>
      <c r="Y6" s="2">
        <f>400496/31</f>
        <v>12919.225806451614</v>
      </c>
      <c r="Z6" s="2">
        <f>351962/29</f>
        <v>12136.620689655172</v>
      </c>
      <c r="AA6" s="2">
        <f>417030/31</f>
        <v>13452.58064516129</v>
      </c>
      <c r="AB6" s="2">
        <f>426204/31</f>
        <v>13748.516129032258</v>
      </c>
      <c r="AC6" s="2">
        <f>376617/28</f>
        <v>13450.607142857143</v>
      </c>
      <c r="AD6" s="2">
        <f>419946/31</f>
        <v>13546.645161290322</v>
      </c>
      <c r="AE6" s="2">
        <f>413698/30</f>
        <v>13789.933333333332</v>
      </c>
      <c r="AF6" s="2">
        <f>434409/31</f>
        <v>14013.193548387097</v>
      </c>
      <c r="AG6" s="2">
        <f>391412/30</f>
        <v>13047.066666666668</v>
      </c>
      <c r="AH6" s="2">
        <f>373601/29</f>
        <v>12882.793103448275</v>
      </c>
      <c r="AI6" s="2">
        <f>427161/31</f>
        <v>13779.387096774193</v>
      </c>
      <c r="AJ6" s="2">
        <f>422568/30</f>
        <v>14085.6</v>
      </c>
      <c r="AK6" s="2">
        <f>361731/28</f>
        <v>12918.964285714286</v>
      </c>
      <c r="AL6" s="2">
        <f>373992/30</f>
        <v>12466.4</v>
      </c>
      <c r="AM6" s="2">
        <f>381300/31</f>
        <v>12300</v>
      </c>
      <c r="AN6" s="2">
        <f>333576/31</f>
        <v>10760.516129032258</v>
      </c>
      <c r="AO6" s="2">
        <f>328762/28</f>
        <v>11741.5</v>
      </c>
      <c r="AP6" s="2">
        <f>378082/31</f>
        <v>12196.193548387097</v>
      </c>
      <c r="AQ6" s="2">
        <f>355588/30</f>
        <v>11852.933333333332</v>
      </c>
      <c r="AR6" s="2">
        <f>436317/31</f>
        <v>14074.741935483871</v>
      </c>
      <c r="AS6" s="2">
        <f>442140/30</f>
        <v>14738</v>
      </c>
      <c r="AT6" s="2">
        <f>424901/31</f>
        <v>13706.483870967742</v>
      </c>
      <c r="AU6" s="2">
        <f>436553/31</f>
        <v>14082.354838709678</v>
      </c>
      <c r="AV6" s="2">
        <f>410463/30</f>
        <v>13682.1</v>
      </c>
      <c r="AW6" s="2">
        <f>411164/31</f>
        <v>13263.354838709678</v>
      </c>
      <c r="AX6" s="2">
        <f>377007/29</f>
        <v>13000.241379310344</v>
      </c>
      <c r="AY6" s="2">
        <f>396547/31</f>
        <v>12791.838709677419</v>
      </c>
      <c r="AZ6" s="2">
        <f>405819/31</f>
        <v>13090.935483870968</v>
      </c>
      <c r="BA6" s="2">
        <f>353149/28</f>
        <v>12612.464285714286</v>
      </c>
      <c r="BB6" s="2">
        <f>383911/31</f>
        <v>12384.225806451614</v>
      </c>
      <c r="BC6" s="2">
        <f>364508/30</f>
        <v>12150.266666666666</v>
      </c>
      <c r="BD6" s="2">
        <f>265614/22</f>
        <v>12073.363636363636</v>
      </c>
      <c r="BE6" s="2">
        <f>357343/30</f>
        <v>11911.433333333332</v>
      </c>
      <c r="BF6" s="38">
        <f>AVERAGE(U6:BE6)</f>
        <v>12877.654716575351</v>
      </c>
      <c r="BG6" s="38">
        <f t="shared" ref="BG6:BG13" si="0">MAX(C6:BE6)</f>
        <v>14738</v>
      </c>
    </row>
    <row r="7" spans="1:59" ht="15.6" x14ac:dyDescent="0.25">
      <c r="A7" s="16" t="s">
        <v>28</v>
      </c>
      <c r="B7" s="1" t="s">
        <v>14</v>
      </c>
      <c r="C7" s="2">
        <v>0</v>
      </c>
      <c r="D7" s="2">
        <v>0</v>
      </c>
      <c r="E7" s="10">
        <f>97101/13</f>
        <v>7469.3076923076924</v>
      </c>
      <c r="F7" s="2">
        <f>284696/23</f>
        <v>12378.08695652174</v>
      </c>
      <c r="G7" s="2">
        <f>422643/30</f>
        <v>14088.1</v>
      </c>
      <c r="H7" s="2">
        <f>442928/31</f>
        <v>14288</v>
      </c>
      <c r="I7" s="2">
        <f>444336/30</f>
        <v>14811.2</v>
      </c>
      <c r="J7" s="2">
        <f>313940/23</f>
        <v>13649.565217391304</v>
      </c>
      <c r="K7" s="2">
        <f>441482/31</f>
        <v>14241.354838709678</v>
      </c>
      <c r="L7" s="2">
        <f>365570/30</f>
        <v>12185.666666666666</v>
      </c>
      <c r="M7" s="2">
        <f>433994/31</f>
        <v>13999.806451612903</v>
      </c>
      <c r="N7" s="2">
        <f>354347/27</f>
        <v>13123.962962962964</v>
      </c>
      <c r="O7" s="2">
        <f>471943/31</f>
        <v>15223.967741935483</v>
      </c>
      <c r="P7" s="2">
        <f>470135/31</f>
        <v>15165.645161290322</v>
      </c>
      <c r="Q7" s="2">
        <f>436346/29</f>
        <v>15046.413793103447</v>
      </c>
      <c r="R7" s="2">
        <f>482409/31</f>
        <v>15561.58064516129</v>
      </c>
      <c r="S7" s="2">
        <f>448228/30</f>
        <v>14940.933333333332</v>
      </c>
      <c r="T7" s="2">
        <f>478926/31</f>
        <v>15449.225806451614</v>
      </c>
      <c r="U7" s="2">
        <f>453365/30</f>
        <v>15112.166666666666</v>
      </c>
      <c r="V7" s="2">
        <f>439166/31</f>
        <v>14166.645161290322</v>
      </c>
      <c r="W7" s="2">
        <f>372404/31</f>
        <v>12013.032258064517</v>
      </c>
      <c r="X7" s="2">
        <f>365570/30</f>
        <v>12185.666666666666</v>
      </c>
      <c r="Y7" s="2">
        <f>396712/31</f>
        <v>12797.161290322581</v>
      </c>
      <c r="Z7" s="2">
        <f>309819/28</f>
        <v>11064.964285714286</v>
      </c>
      <c r="AA7" s="2">
        <f>404091/31</f>
        <v>13035.193548387097</v>
      </c>
      <c r="AB7" s="2">
        <f>390087/31</f>
        <v>12583.451612903225</v>
      </c>
      <c r="AC7" s="2">
        <f>354067/28</f>
        <v>12645.25</v>
      </c>
      <c r="AD7" s="2">
        <f>383701/31</f>
        <v>12377.451612903225</v>
      </c>
      <c r="AE7" s="2">
        <f>381440/30</f>
        <v>12714.666666666666</v>
      </c>
      <c r="AF7" s="2">
        <f>364763/31</f>
        <v>11766.548387096775</v>
      </c>
      <c r="AG7" s="2">
        <f>360219/30</f>
        <v>12007.3</v>
      </c>
      <c r="AH7" s="2">
        <f>367931/31</f>
        <v>11868.741935483871</v>
      </c>
      <c r="AI7" s="2">
        <f>333865/31</f>
        <v>10769.838709677419</v>
      </c>
      <c r="AJ7" s="2">
        <f>342066/30</f>
        <v>11402.2</v>
      </c>
      <c r="AK7" s="2">
        <f>302637/28</f>
        <v>10808.464285714286</v>
      </c>
      <c r="AL7" s="2">
        <f>338573/30</f>
        <v>11285.766666666666</v>
      </c>
      <c r="AM7" s="2">
        <f>351050/31</f>
        <v>11324.193548387097</v>
      </c>
      <c r="AN7" s="2">
        <f>307965/31</f>
        <v>9934.354838709678</v>
      </c>
      <c r="AO7" s="2">
        <f>298550/28</f>
        <v>10662.5</v>
      </c>
      <c r="AP7" s="2">
        <f>328094/31</f>
        <v>10583.677419354839</v>
      </c>
      <c r="AQ7" s="2">
        <f>286889/30</f>
        <v>9562.9666666666672</v>
      </c>
      <c r="AR7" s="2">
        <f>330564/31</f>
        <v>10663.354838709678</v>
      </c>
      <c r="AS7" s="2">
        <f>322773/30</f>
        <v>10759.1</v>
      </c>
      <c r="AT7" s="2">
        <f>353599/31</f>
        <v>11406.41935483871</v>
      </c>
      <c r="AU7" s="2">
        <f>356255/31</f>
        <v>11492.096774193549</v>
      </c>
      <c r="AV7" s="2">
        <f>333373/30</f>
        <v>11112.433333333332</v>
      </c>
      <c r="AW7" s="2">
        <f>296210/31</f>
        <v>9555.1612903225814</v>
      </c>
      <c r="AX7" s="2">
        <f>342326/29</f>
        <v>11804.344827586207</v>
      </c>
      <c r="AY7" s="2">
        <f>350066/31</f>
        <v>11292.451612903225</v>
      </c>
      <c r="AZ7" s="2">
        <f>352503/31</f>
        <v>11371.064516129032</v>
      </c>
      <c r="BA7" s="2">
        <f>305385/28</f>
        <v>10906.607142857143</v>
      </c>
      <c r="BB7" s="2">
        <f>326897/31</f>
        <v>10545.064516129032</v>
      </c>
      <c r="BC7" s="2">
        <f>322248/30</f>
        <v>10741.6</v>
      </c>
      <c r="BD7" s="2">
        <f>233347/22</f>
        <v>10606.681818181818</v>
      </c>
      <c r="BE7" s="2">
        <f>320927/30</f>
        <v>10697.566666666668</v>
      </c>
      <c r="BF7" s="38">
        <f>AVERAGE(E7:BE7)</f>
        <v>12212.244645030982</v>
      </c>
      <c r="BG7" s="38">
        <f t="shared" si="0"/>
        <v>15561.58064516129</v>
      </c>
    </row>
    <row r="8" spans="1:59" ht="15.6" x14ac:dyDescent="0.25">
      <c r="A8" s="16" t="s">
        <v>28</v>
      </c>
      <c r="B8" s="30" t="s">
        <v>15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f>0</f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f>0</f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10">
        <f>199115/19</f>
        <v>10479.736842105263</v>
      </c>
      <c r="AG8" s="10">
        <f>375938/30</f>
        <v>12531.266666666666</v>
      </c>
      <c r="AH8" s="10">
        <f>400172/31</f>
        <v>12908.774193548386</v>
      </c>
      <c r="AI8" s="10">
        <f>443876/31</f>
        <v>14318.58064516129</v>
      </c>
      <c r="AJ8" s="10">
        <f>490933/30</f>
        <v>16364.433333333332</v>
      </c>
      <c r="AK8" s="10">
        <f>433900/28</f>
        <v>15496.428571428571</v>
      </c>
      <c r="AL8" s="10">
        <f>514700/30</f>
        <v>17156.666666666668</v>
      </c>
      <c r="AM8" s="10">
        <f>529452/31</f>
        <v>17079.096774193549</v>
      </c>
      <c r="AN8" s="10">
        <f>524776/31</f>
        <v>16928.258064516129</v>
      </c>
      <c r="AO8" s="10">
        <f>476259/28</f>
        <v>17009.25</v>
      </c>
      <c r="AP8" s="10">
        <f>552629/31</f>
        <v>17826.741935483871</v>
      </c>
      <c r="AQ8" s="10">
        <f>494992/30</f>
        <v>16499.733333333334</v>
      </c>
      <c r="AR8" s="10">
        <f>574357/31</f>
        <v>18527.645161290322</v>
      </c>
      <c r="AS8" s="10">
        <f>515105/30</f>
        <v>17170.166666666668</v>
      </c>
      <c r="AT8" s="10">
        <f>577686/31</f>
        <v>18635.032258064515</v>
      </c>
      <c r="AU8" s="10">
        <f>589289/31</f>
        <v>19009.322580645163</v>
      </c>
      <c r="AV8" s="10">
        <f>553013/30</f>
        <v>18433.766666666666</v>
      </c>
      <c r="AW8" s="10">
        <f>565767/31</f>
        <v>18250.548387096773</v>
      </c>
      <c r="AX8" s="10">
        <f>505984/29</f>
        <v>17447.724137931036</v>
      </c>
      <c r="AY8" s="10">
        <f>552100/31</f>
        <v>17809.677419354837</v>
      </c>
      <c r="AZ8" s="10">
        <f>546477/31</f>
        <v>17628.290322580644</v>
      </c>
      <c r="BA8" s="10">
        <f>484338/28</f>
        <v>17297.785714285714</v>
      </c>
      <c r="BB8" s="10">
        <f>524481/31</f>
        <v>16918.741935483871</v>
      </c>
      <c r="BC8" s="10">
        <f>505431/30</f>
        <v>16847.7</v>
      </c>
      <c r="BD8" s="10">
        <f>351742/22</f>
        <v>15988.272727272728</v>
      </c>
      <c r="BE8" s="10">
        <f>478920/30</f>
        <v>15964</v>
      </c>
      <c r="BF8" s="39">
        <f>AVERAGE(AF8:BE8)</f>
        <v>16558.755423222156</v>
      </c>
      <c r="BG8" s="39">
        <f t="shared" si="0"/>
        <v>19009.322580645163</v>
      </c>
    </row>
    <row r="9" spans="1:59" ht="15.6" x14ac:dyDescent="0.25">
      <c r="A9" s="16" t="s">
        <v>28</v>
      </c>
      <c r="B9" s="1" t="s">
        <v>16</v>
      </c>
      <c r="C9" s="10">
        <f>258352/28</f>
        <v>9226.8571428571431</v>
      </c>
      <c r="D9" s="2">
        <f>328696/27</f>
        <v>12173.925925925925</v>
      </c>
      <c r="E9" s="2">
        <f>358981/28</f>
        <v>12820.75</v>
      </c>
      <c r="F9" s="2">
        <f>437497/31</f>
        <v>14112.806451612903</v>
      </c>
      <c r="G9" s="2">
        <f>430235/30</f>
        <v>14341.166666666666</v>
      </c>
      <c r="H9" s="2">
        <f>431993/31</f>
        <v>13935.258064516129</v>
      </c>
      <c r="I9" s="2">
        <f>435167/30</f>
        <v>14505.566666666668</v>
      </c>
      <c r="J9" s="2">
        <f>313590/23</f>
        <v>13634.347826086956</v>
      </c>
      <c r="K9" s="2">
        <f>438386/31</f>
        <v>14141.483870967742</v>
      </c>
      <c r="L9" s="2">
        <f>423677/31</f>
        <v>13667</v>
      </c>
      <c r="M9" s="2">
        <f>414785/31</f>
        <v>13380.161290322581</v>
      </c>
      <c r="N9" s="2">
        <f>341224/27</f>
        <v>12637.925925925925</v>
      </c>
      <c r="O9" s="2">
        <f>430739/31</f>
        <v>13894.806451612903</v>
      </c>
      <c r="P9" s="2">
        <f>421890/31</f>
        <v>13609.354838709678</v>
      </c>
      <c r="Q9" s="2">
        <f>395540/29</f>
        <v>13639.310344827587</v>
      </c>
      <c r="R9" s="2">
        <f>413134/31</f>
        <v>13326.903225806451</v>
      </c>
      <c r="S9" s="2">
        <f>371401/30</f>
        <v>12380.033333333333</v>
      </c>
      <c r="T9" s="2">
        <f>398433/31</f>
        <v>12852.677419354839</v>
      </c>
      <c r="U9" s="2">
        <f>379885/30</f>
        <v>12662.833333333334</v>
      </c>
      <c r="V9" s="2">
        <f>364728/31</f>
        <v>11765.41935483871</v>
      </c>
      <c r="W9" s="2">
        <f>296312/28</f>
        <v>10582.571428571429</v>
      </c>
      <c r="X9" s="2">
        <f>335882/30</f>
        <v>11196.066666666668</v>
      </c>
      <c r="Y9" s="2">
        <f>346223/31</f>
        <v>11168.483870967742</v>
      </c>
      <c r="Z9" s="2">
        <f>292953/29</f>
        <v>10101.827586206897</v>
      </c>
      <c r="AA9" s="2">
        <f>347525/31</f>
        <v>11210.483870967742</v>
      </c>
      <c r="AB9" s="2">
        <f>319015/31</f>
        <v>10290.806451612903</v>
      </c>
      <c r="AC9" s="2">
        <f>277831/28</f>
        <v>9922.5357142857138</v>
      </c>
      <c r="AD9" s="2">
        <f>304470/31</f>
        <v>9821.6129032258068</v>
      </c>
      <c r="AE9" s="2">
        <f>292339/30</f>
        <v>9744.6333333333332</v>
      </c>
      <c r="AF9" s="2">
        <f>278535/31</f>
        <v>8985</v>
      </c>
      <c r="AG9" s="2">
        <f>273085/30</f>
        <v>9102.8333333333339</v>
      </c>
      <c r="AH9" s="2">
        <f>269870/31</f>
        <v>8705.4838709677424</v>
      </c>
      <c r="AI9" s="2">
        <f>244395/31</f>
        <v>7883.7096774193551</v>
      </c>
      <c r="AJ9" s="2">
        <f>252601/30</f>
        <v>8420.0333333333328</v>
      </c>
      <c r="AK9" s="2">
        <f>219844/28</f>
        <v>7851.5714285714284</v>
      </c>
      <c r="AL9" s="2">
        <f>246745/30</f>
        <v>8224.8333333333339</v>
      </c>
      <c r="AM9" s="2">
        <f>256367/31</f>
        <v>8269.9032258064508</v>
      </c>
      <c r="AN9" s="2">
        <f>228866/31</f>
        <v>7382.7741935483873</v>
      </c>
      <c r="AO9" s="2">
        <f>217298/28</f>
        <v>7760.6428571428569</v>
      </c>
      <c r="AP9" s="2">
        <f>242590/31</f>
        <v>7825.4838709677415</v>
      </c>
      <c r="AQ9" s="2">
        <f>207268/30</f>
        <v>6908.9333333333334</v>
      </c>
      <c r="AR9" s="2">
        <f>255938/31</f>
        <v>8256.0645161290322</v>
      </c>
      <c r="AS9" s="2">
        <f>207831/27</f>
        <v>7697.4444444444443</v>
      </c>
      <c r="AT9" s="2">
        <f>265675/31</f>
        <v>8570.1612903225814</v>
      </c>
      <c r="AU9" s="2">
        <f>272354/31</f>
        <v>8785.6129032258068</v>
      </c>
      <c r="AV9" s="2">
        <f>255628/30</f>
        <v>8520.9333333333325</v>
      </c>
      <c r="AW9" s="2">
        <f>258158/31</f>
        <v>8327.677419354839</v>
      </c>
      <c r="AX9" s="2">
        <f>230556/29</f>
        <v>7950.2068965517237</v>
      </c>
      <c r="AY9" s="2">
        <f>250491/31</f>
        <v>8080.3548387096771</v>
      </c>
      <c r="AZ9" s="2">
        <f>251653/31</f>
        <v>8117.8387096774195</v>
      </c>
      <c r="BA9" s="2">
        <f>193658/28</f>
        <v>6916.3571428571431</v>
      </c>
      <c r="BB9" s="2">
        <f>223435/31</f>
        <v>7207.5806451612907</v>
      </c>
      <c r="BC9" s="2">
        <f>219542/30</f>
        <v>7318.0666666666666</v>
      </c>
      <c r="BD9" s="2">
        <f>157372/22</f>
        <v>7153.272727272727</v>
      </c>
      <c r="BE9" s="2">
        <f>212202/30</f>
        <v>7073.4</v>
      </c>
      <c r="BF9" s="38">
        <f>AVERAGE(C9:BE9)</f>
        <v>10255.341526375778</v>
      </c>
      <c r="BG9" s="38">
        <f t="shared" si="0"/>
        <v>14505.566666666668</v>
      </c>
    </row>
    <row r="10" spans="1:59" ht="15.6" x14ac:dyDescent="0.25">
      <c r="A10" s="16" t="s">
        <v>28</v>
      </c>
      <c r="B10" s="1" t="s">
        <v>17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10">
        <f>133829/15</f>
        <v>8921.9333333333325</v>
      </c>
      <c r="T10" s="2">
        <f>408502/30</f>
        <v>13616.733333333334</v>
      </c>
      <c r="U10" s="2">
        <f>426486/30</f>
        <v>14216.2</v>
      </c>
      <c r="V10" s="2">
        <f>434028/31</f>
        <v>14000.903225806451</v>
      </c>
      <c r="W10" s="2">
        <f>445179/31</f>
        <v>14360.612903225807</v>
      </c>
      <c r="X10" s="2">
        <f>453571/30</f>
        <v>15119.033333333333</v>
      </c>
      <c r="Y10" s="2">
        <f>473681/31</f>
        <v>15280.032258064517</v>
      </c>
      <c r="Z10" s="2">
        <f>421245/29</f>
        <v>14525.689655172413</v>
      </c>
      <c r="AA10" s="2">
        <f>493008/31</f>
        <v>15903.483870967742</v>
      </c>
      <c r="AB10" s="2">
        <f>481914/31</f>
        <v>15545.612903225807</v>
      </c>
      <c r="AC10" s="2">
        <f>441932/28</f>
        <v>15783.285714285714</v>
      </c>
      <c r="AD10" s="2">
        <f>474617/31</f>
        <v>15310.225806451614</v>
      </c>
      <c r="AE10" s="2">
        <f>473493/30</f>
        <v>15783.1</v>
      </c>
      <c r="AF10" s="2">
        <f>473562/31</f>
        <v>15276.193548387097</v>
      </c>
      <c r="AG10" s="2">
        <f>468421/30</f>
        <v>15614.033333333333</v>
      </c>
      <c r="AH10" s="2">
        <f>494513/31</f>
        <v>15952.032258064517</v>
      </c>
      <c r="AI10" s="2">
        <f>474033/31</f>
        <v>15291.387096774193</v>
      </c>
      <c r="AJ10" s="2">
        <f>467036/30</f>
        <v>15567.866666666667</v>
      </c>
      <c r="AK10" s="2">
        <f>415374/28</f>
        <v>14834.785714285714</v>
      </c>
      <c r="AL10" s="2">
        <f>459363/30</f>
        <v>15312.1</v>
      </c>
      <c r="AM10" s="2">
        <f>478692/31</f>
        <v>15441.677419354839</v>
      </c>
      <c r="AN10" s="2">
        <f>447493/31</f>
        <v>14435.258064516129</v>
      </c>
      <c r="AO10" s="2">
        <f>405436/28</f>
        <v>14479.857142857143</v>
      </c>
      <c r="AP10" s="2">
        <f>449926/31</f>
        <v>14513.741935483871</v>
      </c>
      <c r="AQ10" s="2">
        <f>406074/30</f>
        <v>13535.8</v>
      </c>
      <c r="AR10" s="2">
        <f>477560/31</f>
        <v>15405.161290322581</v>
      </c>
      <c r="AS10" s="2">
        <f>479189/30</f>
        <v>15972.966666666667</v>
      </c>
      <c r="AT10" s="2">
        <f>469569/31</f>
        <v>15147.387096774193</v>
      </c>
      <c r="AU10" s="2">
        <f>485110/31</f>
        <v>15648.709677419354</v>
      </c>
      <c r="AV10" s="2">
        <f>460153/30</f>
        <v>15338.433333333332</v>
      </c>
      <c r="AW10" s="2">
        <f>447892/31</f>
        <v>14448.129032258064</v>
      </c>
      <c r="AX10" s="2">
        <f>434887/29</f>
        <v>14996.103448275862</v>
      </c>
      <c r="AY10" s="2">
        <f>480667/31</f>
        <v>15505.387096774193</v>
      </c>
      <c r="AZ10" s="2">
        <f>489350/31</f>
        <v>15785.483870967742</v>
      </c>
      <c r="BA10" s="2">
        <f>421346/28</f>
        <v>15048.071428571429</v>
      </c>
      <c r="BB10" s="2">
        <f>456221/31</f>
        <v>14716.806451612903</v>
      </c>
      <c r="BC10" s="2">
        <f>443470/30</f>
        <v>14782.333333333334</v>
      </c>
      <c r="BD10" s="2">
        <f>329439/22</f>
        <v>14974.5</v>
      </c>
      <c r="BE10" s="2">
        <f>449581/30</f>
        <v>14986.033333333333</v>
      </c>
      <c r="BF10" s="38">
        <f>AVERAGE(S10:BE10)</f>
        <v>14907.1047583735</v>
      </c>
      <c r="BG10" s="38">
        <f t="shared" si="0"/>
        <v>15972.966666666667</v>
      </c>
    </row>
    <row r="11" spans="1:59" ht="15.6" x14ac:dyDescent="0.25">
      <c r="A11" s="16" t="s">
        <v>28</v>
      </c>
      <c r="B11" s="1" t="s">
        <v>18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10">
        <f>199150/29</f>
        <v>6867.2413793103451</v>
      </c>
      <c r="AO11" s="2">
        <f>221771/28</f>
        <v>7920.3928571428569</v>
      </c>
      <c r="AP11" s="2">
        <f>244130/31</f>
        <v>7875.1612903225805</v>
      </c>
      <c r="AQ11" s="2">
        <f>221575/30</f>
        <v>7385.833333333333</v>
      </c>
      <c r="AR11" s="2">
        <f>245571/31</f>
        <v>7921.6451612903229</v>
      </c>
      <c r="AS11" s="2">
        <f>293546/30</f>
        <v>9784.8666666666668</v>
      </c>
      <c r="AT11" s="2">
        <f>329724/31</f>
        <v>10636.258064516129</v>
      </c>
      <c r="AU11" s="2">
        <f>319382/31</f>
        <v>10302.645161290322</v>
      </c>
      <c r="AV11" s="2">
        <f>294420/30</f>
        <v>9814</v>
      </c>
      <c r="AW11" s="2">
        <f>294760/31</f>
        <v>9508.3870967741932</v>
      </c>
      <c r="AX11" s="2">
        <f>265041/29</f>
        <v>9139.3448275862065</v>
      </c>
      <c r="AY11" s="2">
        <f>286346/31</f>
        <v>9236.967741935483</v>
      </c>
      <c r="AZ11" s="2">
        <f>271074/31</f>
        <v>8744.322580645161</v>
      </c>
      <c r="BA11" s="2">
        <f>234235/28</f>
        <v>8365.5357142857138</v>
      </c>
      <c r="BB11" s="2">
        <f>249848/31</f>
        <v>8059.6129032258068</v>
      </c>
      <c r="BC11" s="2">
        <f>245605/30</f>
        <v>8186.833333333333</v>
      </c>
      <c r="BD11" s="2">
        <f>179790/22</f>
        <v>8172.272727272727</v>
      </c>
      <c r="BE11" s="2">
        <f>243381/30</f>
        <v>8112.7</v>
      </c>
      <c r="BF11" s="38">
        <f>AVERAGE(AN11:BE11)</f>
        <v>8668.5567132739579</v>
      </c>
      <c r="BG11" s="38">
        <f t="shared" si="0"/>
        <v>10636.258064516129</v>
      </c>
    </row>
    <row r="12" spans="1:59" ht="15.6" x14ac:dyDescent="0.25">
      <c r="A12" s="16" t="s">
        <v>28</v>
      </c>
      <c r="B12" s="1" t="s">
        <v>19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10">
        <f>40945/5</f>
        <v>8189</v>
      </c>
      <c r="X12" s="2">
        <f>295977/30</f>
        <v>9865.9</v>
      </c>
      <c r="Y12" s="2">
        <f>364792/31</f>
        <v>11767.483870967742</v>
      </c>
      <c r="Z12" s="2">
        <f>331096/29</f>
        <v>11417.103448275862</v>
      </c>
      <c r="AA12" s="2">
        <f>401524/31</f>
        <v>12952.387096774193</v>
      </c>
      <c r="AB12" s="2">
        <f>426026/31</f>
        <v>13742.774193548386</v>
      </c>
      <c r="AC12" s="2">
        <f>385157/28</f>
        <v>13755.607142857143</v>
      </c>
      <c r="AD12" s="2">
        <f>445914/31</f>
        <v>14384.322580645161</v>
      </c>
      <c r="AE12" s="2">
        <f>442442/30</f>
        <v>14748.066666666668</v>
      </c>
      <c r="AF12" s="2">
        <f>458918/31</f>
        <v>14803.806451612903</v>
      </c>
      <c r="AG12" s="2">
        <f>438130/30</f>
        <v>14604.333333333334</v>
      </c>
      <c r="AH12" s="2">
        <f>457533/31</f>
        <v>14759.129032258064</v>
      </c>
      <c r="AI12" s="2">
        <f>471394/31</f>
        <v>15206.258064516129</v>
      </c>
      <c r="AJ12" s="2">
        <f>492880/30</f>
        <v>16429.333333333332</v>
      </c>
      <c r="AK12" s="2">
        <f>423367/28</f>
        <v>15120.25</v>
      </c>
      <c r="AL12" s="2">
        <f>463650/30</f>
        <v>15455</v>
      </c>
      <c r="AM12" s="2">
        <f>458039/31</f>
        <v>14775.451612903225</v>
      </c>
      <c r="AN12" s="2">
        <f>436631/31</f>
        <v>14084.870967741936</v>
      </c>
      <c r="AO12" s="2">
        <f>385777/28</f>
        <v>13777.75</v>
      </c>
      <c r="AP12" s="2">
        <f>419127/31</f>
        <v>13520.225806451614</v>
      </c>
      <c r="AQ12" s="2">
        <f>353296/30</f>
        <v>11776.533333333333</v>
      </c>
      <c r="AR12" s="2">
        <f>454241/31</f>
        <v>14652.935483870968</v>
      </c>
      <c r="AS12" s="2">
        <f>454797/30</f>
        <v>15159.9</v>
      </c>
      <c r="AT12" s="2">
        <f>441233/31</f>
        <v>14233.322580645161</v>
      </c>
      <c r="AU12" s="2">
        <f>435753/31</f>
        <v>14056.548387096775</v>
      </c>
      <c r="AV12" s="2">
        <f>421139/30</f>
        <v>14037.966666666667</v>
      </c>
      <c r="AW12" s="2">
        <f>420761/31</f>
        <v>13572.935483870968</v>
      </c>
      <c r="AX12" s="2">
        <f>379906/29</f>
        <v>13100.206896551725</v>
      </c>
      <c r="AY12" s="2">
        <f>405269/31</f>
        <v>13073.193548387097</v>
      </c>
      <c r="AZ12" s="2">
        <f>406317/31</f>
        <v>13107</v>
      </c>
      <c r="BA12" s="2">
        <f>354509/28</f>
        <v>12661.035714285714</v>
      </c>
      <c r="BB12" s="2">
        <f>386396/31</f>
        <v>12464.387096774193</v>
      </c>
      <c r="BC12" s="2">
        <f>378107/30</f>
        <v>12603.566666666668</v>
      </c>
      <c r="BD12" s="2">
        <f>273830/22</f>
        <v>12446.818181818182</v>
      </c>
      <c r="BE12" s="2">
        <f>377219/30</f>
        <v>12573.966666666667</v>
      </c>
      <c r="BF12" s="38">
        <f>AVERAGE(W12:BE12)</f>
        <v>13510.839151671995</v>
      </c>
      <c r="BG12" s="38">
        <f t="shared" si="0"/>
        <v>16429.333333333332</v>
      </c>
    </row>
    <row r="13" spans="1:59" ht="15.6" x14ac:dyDescent="0.25">
      <c r="A13" s="16" t="s">
        <v>28</v>
      </c>
      <c r="B13" s="1" t="s">
        <v>20</v>
      </c>
      <c r="C13" s="2">
        <v>0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10">
        <f>39766/6</f>
        <v>6627.666666666667</v>
      </c>
      <c r="AT13" s="2">
        <f>326276/31</f>
        <v>10525.032258064517</v>
      </c>
      <c r="AU13" s="2">
        <f>371557/31</f>
        <v>11985.709677419354</v>
      </c>
      <c r="AV13" s="2">
        <f>373571/30</f>
        <v>12452.366666666667</v>
      </c>
      <c r="AW13" s="2">
        <f>383627/31</f>
        <v>12375.064516129032</v>
      </c>
      <c r="AX13" s="2">
        <f>348272/29</f>
        <v>12009.379310344828</v>
      </c>
      <c r="AY13" s="2">
        <f>373566/31</f>
        <v>12050.516129032258</v>
      </c>
      <c r="AZ13" s="2">
        <f>384584/31</f>
        <v>12405.935483870968</v>
      </c>
      <c r="BA13" s="2">
        <f>326676/28</f>
        <v>11667</v>
      </c>
      <c r="BB13" s="2">
        <f>341845/31</f>
        <v>11027.258064516129</v>
      </c>
      <c r="BC13" s="2">
        <f>336987/30</f>
        <v>11232.9</v>
      </c>
      <c r="BD13" s="2">
        <f>246303/22</f>
        <v>11195.59090909091</v>
      </c>
      <c r="BE13" s="2">
        <f>329918/30</f>
        <v>10997.266666666666</v>
      </c>
      <c r="BF13" s="38">
        <f>AVERAGE(AS13:BE13)</f>
        <v>11273.206642189845</v>
      </c>
      <c r="BG13" s="38">
        <f t="shared" si="0"/>
        <v>12452.366666666667</v>
      </c>
    </row>
    <row r="14" spans="1:59" ht="15.6" x14ac:dyDescent="0.25">
      <c r="B14" s="16" t="s">
        <v>28</v>
      </c>
      <c r="C14" s="5">
        <f>SUM(C5:C13)</f>
        <v>9226.8571428571431</v>
      </c>
      <c r="D14" s="5">
        <f t="shared" ref="D14:BE14" si="1">SUM(D5:D13)</f>
        <v>20152.306878306877</v>
      </c>
      <c r="E14" s="5">
        <f t="shared" si="1"/>
        <v>30143.057692307691</v>
      </c>
      <c r="F14" s="5">
        <f t="shared" si="1"/>
        <v>37533.086956521736</v>
      </c>
      <c r="G14" s="5">
        <f t="shared" si="1"/>
        <v>39178.133333333331</v>
      </c>
      <c r="H14" s="5">
        <f t="shared" si="1"/>
        <v>38429.870967741939</v>
      </c>
      <c r="I14" s="5">
        <f t="shared" si="1"/>
        <v>39522.26666666667</v>
      </c>
      <c r="J14" s="5">
        <f t="shared" si="1"/>
        <v>37373.293995859218</v>
      </c>
      <c r="K14" s="5">
        <f t="shared" si="1"/>
        <v>37868.387096774197</v>
      </c>
      <c r="L14" s="5">
        <f t="shared" si="1"/>
        <v>35284.6</v>
      </c>
      <c r="M14" s="5">
        <f t="shared" si="1"/>
        <v>36224.483870967742</v>
      </c>
      <c r="N14" s="5">
        <f t="shared" si="1"/>
        <v>33411.777777777781</v>
      </c>
      <c r="O14" s="5">
        <f t="shared" si="1"/>
        <v>37126.419354838712</v>
      </c>
      <c r="P14" s="5">
        <f t="shared" si="1"/>
        <v>36814.806451612909</v>
      </c>
      <c r="Q14" s="5">
        <f t="shared" si="1"/>
        <v>36638.793103448275</v>
      </c>
      <c r="R14" s="5">
        <f t="shared" si="1"/>
        <v>37062.387096774197</v>
      </c>
      <c r="S14" s="5">
        <f t="shared" si="1"/>
        <v>43869.166666666664</v>
      </c>
      <c r="T14" s="5">
        <f t="shared" si="1"/>
        <v>49779.507526881716</v>
      </c>
      <c r="U14" s="5">
        <f t="shared" si="1"/>
        <v>60661.615151515158</v>
      </c>
      <c r="V14" s="5">
        <f t="shared" si="1"/>
        <v>58914.483870967742</v>
      </c>
      <c r="W14" s="5">
        <f t="shared" si="1"/>
        <v>64044.377880184329</v>
      </c>
      <c r="X14" s="5">
        <f t="shared" si="1"/>
        <v>67610.7</v>
      </c>
      <c r="Y14" s="5">
        <f t="shared" si="1"/>
        <v>70050.193548387091</v>
      </c>
      <c r="Z14" s="5">
        <f t="shared" si="1"/>
        <v>65253.491379310348</v>
      </c>
      <c r="AA14" s="5">
        <f t="shared" si="1"/>
        <v>72794.677419354834</v>
      </c>
      <c r="AB14" s="5">
        <f t="shared" si="1"/>
        <v>71949.258064516122</v>
      </c>
      <c r="AC14" s="5">
        <f t="shared" si="1"/>
        <v>71484.75</v>
      </c>
      <c r="AD14" s="5">
        <f t="shared" si="1"/>
        <v>71452.161290322576</v>
      </c>
      <c r="AE14" s="5">
        <f t="shared" si="1"/>
        <v>72793.8</v>
      </c>
      <c r="AF14" s="5">
        <f t="shared" si="1"/>
        <v>80971.672325976237</v>
      </c>
      <c r="AG14" s="5">
        <f t="shared" si="1"/>
        <v>82842.333333333328</v>
      </c>
      <c r="AH14" s="5">
        <f t="shared" si="1"/>
        <v>83190.825361512791</v>
      </c>
      <c r="AI14" s="5">
        <f t="shared" si="1"/>
        <v>82880.774193548394</v>
      </c>
      <c r="AJ14" s="5">
        <f t="shared" si="1"/>
        <v>88493.5</v>
      </c>
      <c r="AK14" s="5">
        <f t="shared" si="1"/>
        <v>82713.642857142855</v>
      </c>
      <c r="AL14" s="5">
        <f t="shared" si="1"/>
        <v>85888.066666666666</v>
      </c>
      <c r="AM14" s="5">
        <f t="shared" si="1"/>
        <v>85282.903225806454</v>
      </c>
      <c r="AN14" s="5">
        <f t="shared" si="1"/>
        <v>86337.918798665181</v>
      </c>
      <c r="AO14" s="5">
        <f t="shared" si="1"/>
        <v>89423.928571428565</v>
      </c>
      <c r="AP14" s="5">
        <f t="shared" si="1"/>
        <v>90386.161290322576</v>
      </c>
      <c r="AQ14" s="5">
        <f t="shared" si="1"/>
        <v>83134.5</v>
      </c>
      <c r="AR14" s="5">
        <f t="shared" si="1"/>
        <v>95677.741935483864</v>
      </c>
      <c r="AS14" s="5">
        <f t="shared" si="1"/>
        <v>103912.67777777778</v>
      </c>
      <c r="AT14" s="5">
        <f t="shared" si="1"/>
        <v>109304.58064516129</v>
      </c>
      <c r="AU14" s="5">
        <f t="shared" si="1"/>
        <v>112247.90322580644</v>
      </c>
      <c r="AV14" s="5">
        <f t="shared" si="1"/>
        <v>110001.66666666666</v>
      </c>
      <c r="AW14" s="5">
        <f t="shared" si="1"/>
        <v>105774.06451612904</v>
      </c>
      <c r="AX14" s="5">
        <f t="shared" si="1"/>
        <v>105252.24137931035</v>
      </c>
      <c r="AY14" s="5">
        <f t="shared" si="1"/>
        <v>105835.48387096773</v>
      </c>
      <c r="AZ14" s="5">
        <f t="shared" si="1"/>
        <v>106246.09677419356</v>
      </c>
      <c r="BA14" s="5">
        <f t="shared" si="1"/>
        <v>101180.14285714286</v>
      </c>
      <c r="BB14" s="5">
        <f t="shared" si="1"/>
        <v>98831.161290322576</v>
      </c>
      <c r="BC14" s="5">
        <f t="shared" si="1"/>
        <v>99507.166666666642</v>
      </c>
      <c r="BD14" s="5">
        <f t="shared" si="1"/>
        <v>98053.499999999985</v>
      </c>
      <c r="BE14" s="5">
        <f t="shared" si="1"/>
        <v>97559.766666666663</v>
      </c>
    </row>
    <row r="15" spans="1:59" ht="15.6" x14ac:dyDescent="0.25">
      <c r="B15" s="16" t="s">
        <v>40</v>
      </c>
      <c r="C15" s="28">
        <f>C14/C30</f>
        <v>9226.8571428571431</v>
      </c>
      <c r="D15" s="28">
        <f t="shared" ref="D15:BE15" si="2">D14/D30</f>
        <v>10076.153439153439</v>
      </c>
      <c r="E15" s="28">
        <f t="shared" si="2"/>
        <v>10047.685897435897</v>
      </c>
      <c r="F15" s="28">
        <f t="shared" si="2"/>
        <v>12511.028985507246</v>
      </c>
      <c r="G15" s="28">
        <f t="shared" si="2"/>
        <v>13059.377777777778</v>
      </c>
      <c r="H15" s="28">
        <f t="shared" si="2"/>
        <v>12809.956989247314</v>
      </c>
      <c r="I15" s="28">
        <f t="shared" si="2"/>
        <v>13174.088888888889</v>
      </c>
      <c r="J15" s="28">
        <f t="shared" si="2"/>
        <v>12457.764665286406</v>
      </c>
      <c r="K15" s="28">
        <f t="shared" si="2"/>
        <v>12622.795698924732</v>
      </c>
      <c r="L15" s="28">
        <f t="shared" si="2"/>
        <v>11761.533333333333</v>
      </c>
      <c r="M15" s="28">
        <f t="shared" si="2"/>
        <v>12074.827956989247</v>
      </c>
      <c r="N15" s="28">
        <f t="shared" si="2"/>
        <v>11137.259259259261</v>
      </c>
      <c r="O15" s="28">
        <f t="shared" si="2"/>
        <v>12375.473118279571</v>
      </c>
      <c r="P15" s="28">
        <f t="shared" si="2"/>
        <v>12271.602150537636</v>
      </c>
      <c r="Q15" s="28">
        <f t="shared" si="2"/>
        <v>12212.931034482759</v>
      </c>
      <c r="R15" s="28">
        <f t="shared" si="2"/>
        <v>12354.129032258066</v>
      </c>
      <c r="S15" s="28">
        <f t="shared" si="2"/>
        <v>10967.291666666666</v>
      </c>
      <c r="T15" s="28">
        <f t="shared" si="2"/>
        <v>12444.876881720429</v>
      </c>
      <c r="U15" s="28">
        <f t="shared" si="2"/>
        <v>12132.323030303032</v>
      </c>
      <c r="V15" s="28">
        <f t="shared" si="2"/>
        <v>11782.896774193548</v>
      </c>
      <c r="W15" s="28">
        <f t="shared" si="2"/>
        <v>10674.062980030722</v>
      </c>
      <c r="X15" s="28">
        <f t="shared" si="2"/>
        <v>11268.449999999999</v>
      </c>
      <c r="Y15" s="28">
        <f t="shared" si="2"/>
        <v>11675.032258064515</v>
      </c>
      <c r="Z15" s="28">
        <f t="shared" si="2"/>
        <v>10875.581896551725</v>
      </c>
      <c r="AA15" s="28">
        <f t="shared" si="2"/>
        <v>12132.446236559139</v>
      </c>
      <c r="AB15" s="28">
        <f t="shared" si="2"/>
        <v>11991.543010752686</v>
      </c>
      <c r="AC15" s="28">
        <f t="shared" si="2"/>
        <v>11914.125</v>
      </c>
      <c r="AD15" s="28">
        <f t="shared" si="2"/>
        <v>11908.693548387097</v>
      </c>
      <c r="AE15" s="28">
        <f t="shared" si="2"/>
        <v>12132.300000000001</v>
      </c>
      <c r="AF15" s="28">
        <f t="shared" si="2"/>
        <v>11567.381760853748</v>
      </c>
      <c r="AG15" s="28">
        <f t="shared" si="2"/>
        <v>11834.619047619048</v>
      </c>
      <c r="AH15" s="28">
        <f t="shared" si="2"/>
        <v>11884.403623073256</v>
      </c>
      <c r="AI15" s="28">
        <f t="shared" si="2"/>
        <v>11840.110599078342</v>
      </c>
      <c r="AJ15" s="28">
        <f t="shared" si="2"/>
        <v>12641.928571428571</v>
      </c>
      <c r="AK15" s="28">
        <f t="shared" si="2"/>
        <v>11816.23469387755</v>
      </c>
      <c r="AL15" s="28">
        <f t="shared" si="2"/>
        <v>12269.72380952381</v>
      </c>
      <c r="AM15" s="28">
        <f t="shared" si="2"/>
        <v>12183.271889400921</v>
      </c>
      <c r="AN15" s="28">
        <f t="shared" si="2"/>
        <v>10792.239849833148</v>
      </c>
      <c r="AO15" s="28">
        <f t="shared" si="2"/>
        <v>11177.991071428571</v>
      </c>
      <c r="AP15" s="28">
        <f t="shared" si="2"/>
        <v>11298.270161290322</v>
      </c>
      <c r="AQ15" s="28">
        <f t="shared" si="2"/>
        <v>10391.8125</v>
      </c>
      <c r="AR15" s="28">
        <f t="shared" si="2"/>
        <v>11959.717741935483</v>
      </c>
      <c r="AS15" s="28">
        <f t="shared" si="2"/>
        <v>11545.853086419753</v>
      </c>
      <c r="AT15" s="28">
        <f t="shared" si="2"/>
        <v>12144.953405017921</v>
      </c>
      <c r="AU15" s="28">
        <f t="shared" si="2"/>
        <v>12471.989247311827</v>
      </c>
      <c r="AV15" s="28">
        <f t="shared" si="2"/>
        <v>12222.407407407407</v>
      </c>
      <c r="AW15" s="28">
        <f t="shared" si="2"/>
        <v>11752.67383512545</v>
      </c>
      <c r="AX15" s="28">
        <f t="shared" si="2"/>
        <v>11694.693486590038</v>
      </c>
      <c r="AY15" s="28">
        <f t="shared" si="2"/>
        <v>11759.498207885303</v>
      </c>
      <c r="AZ15" s="28">
        <f t="shared" si="2"/>
        <v>11805.121863799284</v>
      </c>
      <c r="BA15" s="28">
        <f t="shared" si="2"/>
        <v>11242.238095238095</v>
      </c>
      <c r="BB15" s="28">
        <f t="shared" si="2"/>
        <v>10981.240143369176</v>
      </c>
      <c r="BC15" s="28">
        <f t="shared" si="2"/>
        <v>11056.351851851849</v>
      </c>
      <c r="BD15" s="28">
        <f t="shared" si="2"/>
        <v>10894.833333333332</v>
      </c>
      <c r="BE15" s="28">
        <f t="shared" si="2"/>
        <v>10839.974074074074</v>
      </c>
      <c r="BF15" s="29">
        <f>AVERAGE(C15:BE15)</f>
        <v>11711.684036549352</v>
      </c>
      <c r="BG15" s="19" t="s">
        <v>39</v>
      </c>
    </row>
    <row r="16" spans="1:59" ht="15.6" x14ac:dyDescent="0.25">
      <c r="A16" s="17" t="s">
        <v>29</v>
      </c>
      <c r="B16" s="7" t="s">
        <v>21</v>
      </c>
      <c r="C16" s="10">
        <f>214147/25</f>
        <v>8565.8799999999992</v>
      </c>
      <c r="D16" s="12" t="s">
        <v>32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/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/>
      <c r="AB16" s="10">
        <f>64654/15</f>
        <v>4310.2666666666664</v>
      </c>
      <c r="AC16" s="2">
        <f>738/1</f>
        <v>738</v>
      </c>
      <c r="AD16" s="2">
        <f>135395/28</f>
        <v>4835.5357142857147</v>
      </c>
      <c r="AE16" s="2">
        <f>219756/30</f>
        <v>7325.2</v>
      </c>
      <c r="AF16" s="2">
        <f>216920/31</f>
        <v>6997.4193548387093</v>
      </c>
      <c r="AG16" s="2">
        <f>209292/30</f>
        <v>6976.4</v>
      </c>
      <c r="AH16" s="2">
        <f>226422/31</f>
        <v>7303.9354838709678</v>
      </c>
      <c r="AI16" s="2">
        <f>65970/12</f>
        <v>5497.5</v>
      </c>
      <c r="AJ16" s="12">
        <v>0</v>
      </c>
      <c r="AK16" s="12">
        <v>0</v>
      </c>
      <c r="AL16" s="12">
        <v>0</v>
      </c>
      <c r="AM16" s="12"/>
      <c r="AN16" s="12">
        <v>0</v>
      </c>
      <c r="AO16" s="12">
        <v>0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12">
        <v>0</v>
      </c>
      <c r="AV16" s="12"/>
      <c r="AW16" s="12"/>
      <c r="AX16" s="12"/>
      <c r="AY16" s="12"/>
      <c r="AZ16" s="12">
        <v>0</v>
      </c>
      <c r="BA16" s="12">
        <v>0</v>
      </c>
      <c r="BB16" s="12">
        <v>0</v>
      </c>
      <c r="BC16" s="12">
        <v>0</v>
      </c>
      <c r="BD16" s="12">
        <v>0</v>
      </c>
      <c r="BE16" s="12">
        <v>0</v>
      </c>
    </row>
    <row r="17" spans="1:61" ht="15.6" x14ac:dyDescent="0.25">
      <c r="A17" s="17" t="s">
        <v>29</v>
      </c>
      <c r="B17" s="7" t="s">
        <v>22</v>
      </c>
      <c r="C17" s="2">
        <v>0</v>
      </c>
      <c r="D17" s="10">
        <f>278790/24</f>
        <v>11616.25</v>
      </c>
      <c r="E17" s="2">
        <f>363979/28</f>
        <v>12999.25</v>
      </c>
      <c r="F17" s="2">
        <f>438559/31</f>
        <v>14147.064516129032</v>
      </c>
      <c r="G17" s="2">
        <f>403962/30</f>
        <v>13465.4</v>
      </c>
      <c r="H17" s="2">
        <f>365886/29</f>
        <v>12616.758620689656</v>
      </c>
      <c r="I17" s="2">
        <f>401494/30</f>
        <v>13383.133333333333</v>
      </c>
      <c r="J17" s="2">
        <f>282952/23</f>
        <v>12302.260869565218</v>
      </c>
      <c r="K17" s="2">
        <f>393087/31</f>
        <v>12680.225806451614</v>
      </c>
      <c r="L17" s="2">
        <f>342401/30</f>
        <v>11413.366666666667</v>
      </c>
      <c r="M17" s="2">
        <f>330324/31</f>
        <v>10655.612903225807</v>
      </c>
      <c r="N17" s="2">
        <f>291627/29</f>
        <v>10056.103448275862</v>
      </c>
      <c r="O17" s="2">
        <f>328285/31</f>
        <v>10589.838709677419</v>
      </c>
      <c r="P17" s="2">
        <f>334047/31</f>
        <v>10775.709677419354</v>
      </c>
      <c r="Q17" s="2">
        <f>316179/29</f>
        <v>10902.724137931034</v>
      </c>
      <c r="R17" s="2">
        <f>348727/31</f>
        <v>11249.258064516129</v>
      </c>
      <c r="S17" s="2">
        <f>315896/30</f>
        <v>10529.866666666667</v>
      </c>
      <c r="T17" s="2">
        <f>258117/25</f>
        <v>10324.68</v>
      </c>
      <c r="U17" s="2">
        <f>328889/30</f>
        <v>10962.966666666667</v>
      </c>
      <c r="V17" s="2">
        <f>337527/31</f>
        <v>10887.967741935483</v>
      </c>
      <c r="W17" s="2">
        <f>341156/31</f>
        <v>11005.032258064517</v>
      </c>
      <c r="X17" s="2">
        <f>324011/30</f>
        <v>10800.366666666667</v>
      </c>
      <c r="Y17" s="2">
        <f>328097/31</f>
        <v>10583.774193548386</v>
      </c>
      <c r="Z17" s="2">
        <f>315126/30</f>
        <v>10504.2</v>
      </c>
      <c r="AA17" s="2">
        <f>321251/31</f>
        <v>10362.935483870968</v>
      </c>
      <c r="AB17" s="2">
        <f>297085/31</f>
        <v>9583.3870967741932</v>
      </c>
      <c r="AC17" s="2">
        <f>269245/28</f>
        <v>9615.8928571428569</v>
      </c>
      <c r="AD17" s="2">
        <f>291866/31</f>
        <v>9415.032258064517</v>
      </c>
      <c r="AE17" s="2">
        <f>268119/30</f>
        <v>8937.2999999999993</v>
      </c>
      <c r="AF17" s="2">
        <f>283117/31</f>
        <v>9132.8064516129034</v>
      </c>
      <c r="AG17" s="2">
        <f>264394/30</f>
        <v>8813.1333333333332</v>
      </c>
      <c r="AH17" s="2">
        <f>278887/31</f>
        <v>8996.354838709678</v>
      </c>
      <c r="AI17" s="2">
        <f>230782/29</f>
        <v>7958</v>
      </c>
      <c r="AJ17" s="2">
        <f>251311/30</f>
        <v>8377.0333333333328</v>
      </c>
      <c r="AK17" s="2">
        <f>223564/28</f>
        <v>7984.4285714285716</v>
      </c>
      <c r="AL17" s="2">
        <f>247952/30</f>
        <v>8265.0666666666675</v>
      </c>
      <c r="AM17" s="2">
        <f>254802/31</f>
        <v>8219.4193548387102</v>
      </c>
      <c r="AN17" s="2">
        <f>254095/31</f>
        <v>8196.6129032258068</v>
      </c>
      <c r="AO17" s="2">
        <f>211273/28</f>
        <v>7545.4642857142853</v>
      </c>
      <c r="AP17" s="2">
        <f>295763/31</f>
        <v>9540.7419354838712</v>
      </c>
      <c r="AQ17" s="2">
        <f>273612/30</f>
        <v>9120.4</v>
      </c>
      <c r="AR17" s="2">
        <f>283209/31</f>
        <v>9135.7741935483864</v>
      </c>
      <c r="AS17" s="2">
        <f>268788/30</f>
        <v>8959.6</v>
      </c>
      <c r="AT17" s="2">
        <f>254749/31</f>
        <v>8217.7096774193542</v>
      </c>
      <c r="AU17" s="2">
        <f>263419/31</f>
        <v>8497.3870967741932</v>
      </c>
      <c r="AV17" s="2">
        <f>247680/30</f>
        <v>8256</v>
      </c>
      <c r="AW17" s="2">
        <f>250459/31</f>
        <v>8079.322580645161</v>
      </c>
      <c r="AX17" s="2">
        <f>236000/30</f>
        <v>7866.666666666667</v>
      </c>
      <c r="AY17" s="2">
        <f>217376/30</f>
        <v>7245.8666666666668</v>
      </c>
      <c r="AZ17" s="2">
        <f>244259/31</f>
        <v>7879.322580645161</v>
      </c>
      <c r="BA17" s="2">
        <f>212537/28</f>
        <v>7590.6071428571431</v>
      </c>
      <c r="BB17" s="2">
        <f>220354/31</f>
        <v>7108.1935483870966</v>
      </c>
      <c r="BC17" s="2">
        <f>217559/30</f>
        <v>7251.9666666666662</v>
      </c>
      <c r="BD17" s="2">
        <f>149716/22</f>
        <v>6805.272727272727</v>
      </c>
      <c r="BE17" s="2">
        <f>199035/30</f>
        <v>6634.5</v>
      </c>
    </row>
    <row r="18" spans="1:61" ht="15.6" x14ac:dyDescent="0.25">
      <c r="A18" s="17" t="s">
        <v>29</v>
      </c>
      <c r="B18" s="7" t="s">
        <v>23</v>
      </c>
      <c r="C18" s="10">
        <f>5325/4</f>
        <v>1331.25</v>
      </c>
      <c r="D18" s="12" t="s">
        <v>32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0">
        <f>158445/17</f>
        <v>9320.2941176470595</v>
      </c>
      <c r="K18" s="2">
        <f>387712/31</f>
        <v>12506.838709677419</v>
      </c>
      <c r="L18" s="2">
        <f>377361/30</f>
        <v>12578.7</v>
      </c>
      <c r="M18" s="2">
        <f>388369/31</f>
        <v>12528.032258064517</v>
      </c>
      <c r="N18" s="2">
        <f>356583/29</f>
        <v>12295.965517241379</v>
      </c>
      <c r="O18" s="2">
        <f>401451/31</f>
        <v>12950.032258064517</v>
      </c>
      <c r="P18" s="2">
        <f>409607/31</f>
        <v>13213.129032258064</v>
      </c>
      <c r="Q18" s="2">
        <f>393696/29</f>
        <v>13575.724137931034</v>
      </c>
      <c r="R18" s="2">
        <f>449809/31</f>
        <v>14509.967741935483</v>
      </c>
      <c r="S18" s="2">
        <f>425642/30</f>
        <v>14188.066666666668</v>
      </c>
      <c r="T18" s="2">
        <f>360956/25</f>
        <v>14438.24</v>
      </c>
      <c r="U18" s="2">
        <f>463963/30</f>
        <v>15465.433333333332</v>
      </c>
      <c r="V18" s="2">
        <f>474894/31</f>
        <v>15319.161290322581</v>
      </c>
      <c r="W18" s="2">
        <f>485304/31</f>
        <v>15654.967741935483</v>
      </c>
      <c r="X18" s="2">
        <f>463646/30</f>
        <v>15454.866666666667</v>
      </c>
      <c r="Y18" s="2">
        <f>450756/31</f>
        <v>14540.516129032258</v>
      </c>
      <c r="Z18" s="2">
        <f>471055/30</f>
        <v>15701.833333333334</v>
      </c>
      <c r="AA18" s="2">
        <f>511580/31</f>
        <v>16502.580645161292</v>
      </c>
      <c r="AB18" s="2">
        <f>484898/31</f>
        <v>15641.870967741936</v>
      </c>
      <c r="AC18" s="2">
        <f>472221/28</f>
        <v>16865.035714285714</v>
      </c>
      <c r="AD18" s="2">
        <f>510440/31</f>
        <v>16465.806451612902</v>
      </c>
      <c r="AE18" s="2">
        <f>490978/30</f>
        <v>16365.933333333332</v>
      </c>
      <c r="AF18" s="2">
        <f>520140/31</f>
        <v>16778.709677419356</v>
      </c>
      <c r="AG18" s="2">
        <f>493931/30</f>
        <v>16464.366666666665</v>
      </c>
      <c r="AH18" s="2">
        <f>441861/29</f>
        <v>15236.586206896553</v>
      </c>
      <c r="AI18" s="2">
        <f>30527/5</f>
        <v>6105.4</v>
      </c>
      <c r="AJ18" s="2">
        <f>58041/10</f>
        <v>5804.1</v>
      </c>
      <c r="AK18" s="2">
        <f>101259/12</f>
        <v>8438.25</v>
      </c>
      <c r="AL18" s="2">
        <f>112113/14</f>
        <v>8008.0714285714284</v>
      </c>
      <c r="AM18" s="2">
        <f>305956/31</f>
        <v>9869.5483870967746</v>
      </c>
      <c r="AN18" s="2">
        <f>316508/31</f>
        <v>10209.935483870968</v>
      </c>
      <c r="AO18" s="2">
        <f>344394/28</f>
        <v>12299.785714285714</v>
      </c>
      <c r="AP18" s="2">
        <f>326542/31</f>
        <v>10533.612903225807</v>
      </c>
      <c r="AQ18" s="2">
        <f>305303/30</f>
        <v>10176.766666666666</v>
      </c>
      <c r="AR18" s="2">
        <f>319867/31</f>
        <v>10318.290322580646</v>
      </c>
      <c r="AS18" s="2">
        <f>314655/30</f>
        <v>10488.5</v>
      </c>
      <c r="AT18" s="2">
        <f>313079/31</f>
        <v>10099.322580645161</v>
      </c>
      <c r="AU18" s="2">
        <f>319725/31</f>
        <v>10313.709677419354</v>
      </c>
      <c r="AV18" s="2">
        <f>314921/30</f>
        <v>10497.366666666667</v>
      </c>
      <c r="AW18" s="2">
        <f>317869/31</f>
        <v>10253.838709677419</v>
      </c>
      <c r="AX18" s="2">
        <f>295785/30</f>
        <v>9859.5</v>
      </c>
      <c r="AY18" s="2">
        <f>280083/29</f>
        <v>9658.0344827586214</v>
      </c>
      <c r="AZ18" s="2">
        <f>315130/31</f>
        <v>10165.483870967742</v>
      </c>
      <c r="BA18" s="2">
        <f>320736/28</f>
        <v>11454.857142857143</v>
      </c>
      <c r="BB18" s="2">
        <f>364831/31</f>
        <v>11768.741935483871</v>
      </c>
      <c r="BC18" s="2">
        <f>359923/30</f>
        <v>11997.433333333332</v>
      </c>
      <c r="BD18" s="2">
        <f>252714/23</f>
        <v>10987.565217391304</v>
      </c>
      <c r="BE18" s="2">
        <f>362966/30</f>
        <v>12098.866666666667</v>
      </c>
    </row>
    <row r="19" spans="1:61" ht="15.6" x14ac:dyDescent="0.25">
      <c r="A19" s="17" t="s">
        <v>29</v>
      </c>
      <c r="B19" s="7" t="s">
        <v>24</v>
      </c>
      <c r="C19" s="2">
        <v>0</v>
      </c>
      <c r="D19" s="10">
        <f>1747/2</f>
        <v>873.5</v>
      </c>
      <c r="E19" s="2">
        <f>33954/5</f>
        <v>6790.8</v>
      </c>
      <c r="F19" s="12">
        <v>0</v>
      </c>
      <c r="G19" s="10">
        <f>179328/18</f>
        <v>9962.6666666666661</v>
      </c>
      <c r="H19" s="2">
        <f>358353/29</f>
        <v>12357</v>
      </c>
      <c r="I19" s="2">
        <f>367425/30</f>
        <v>12247.5</v>
      </c>
      <c r="J19" s="2">
        <f>252233/23</f>
        <v>10966.652173913044</v>
      </c>
      <c r="K19" s="2">
        <f>345403/31</f>
        <v>11142.032258064517</v>
      </c>
      <c r="L19" s="2">
        <f>331854/30</f>
        <v>11061.8</v>
      </c>
      <c r="M19" s="2">
        <f>324531/31</f>
        <v>10468.741935483871</v>
      </c>
      <c r="N19" s="2">
        <f>281479/29</f>
        <v>9706.1724137931033</v>
      </c>
      <c r="O19" s="2">
        <f>328941/31</f>
        <v>10611</v>
      </c>
      <c r="P19" s="2">
        <f>313046/31</f>
        <v>10098.258064516129</v>
      </c>
      <c r="Q19" s="2">
        <f>292986/29</f>
        <v>10102.965517241379</v>
      </c>
      <c r="R19" s="2">
        <f>319255/31</f>
        <v>10298.548387096775</v>
      </c>
      <c r="S19" s="2">
        <f>319255/31</f>
        <v>10298.548387096775</v>
      </c>
      <c r="T19" s="2">
        <f>235741/25</f>
        <v>9429.64</v>
      </c>
      <c r="U19" s="2">
        <f>298741/30</f>
        <v>9958.0333333333328</v>
      </c>
      <c r="V19" s="2">
        <f>297188/31</f>
        <v>9586.7096774193542</v>
      </c>
      <c r="W19" s="2">
        <f>296820/31</f>
        <v>9574.8387096774186</v>
      </c>
      <c r="X19" s="2">
        <f>280410/30</f>
        <v>9347</v>
      </c>
      <c r="Y19" s="2">
        <f>264041/31</f>
        <v>8517.4516129032254</v>
      </c>
      <c r="Z19" s="2">
        <f>261711/30</f>
        <v>8723.7000000000007</v>
      </c>
      <c r="AA19" s="2">
        <f>272063/31</f>
        <v>8776.2258064516136</v>
      </c>
      <c r="AB19" s="2">
        <f>261156/31</f>
        <v>8424.3870967741932</v>
      </c>
      <c r="AC19" s="2">
        <f>239876/28</f>
        <v>8567</v>
      </c>
      <c r="AD19" s="2">
        <f>267062/31</f>
        <v>8614.9032258064508</v>
      </c>
      <c r="AE19" s="2">
        <f>253200/30</f>
        <v>8440</v>
      </c>
      <c r="AF19" s="2">
        <f>268217/31</f>
        <v>8652.1612903225814</v>
      </c>
      <c r="AG19" s="2">
        <f>246728/30</f>
        <v>8224.2666666666664</v>
      </c>
      <c r="AH19" s="2">
        <f>263577/31</f>
        <v>8502.4838709677424</v>
      </c>
      <c r="AI19" s="2">
        <f>222426/29</f>
        <v>7669.8620689655172</v>
      </c>
      <c r="AJ19" s="2">
        <f>241265/30</f>
        <v>8042.166666666667</v>
      </c>
      <c r="AK19" s="2">
        <f>206004/28</f>
        <v>7357.2857142857147</v>
      </c>
      <c r="AL19" s="2">
        <f>232092/30</f>
        <v>7736.4</v>
      </c>
      <c r="AM19" s="2">
        <f>237782/31</f>
        <v>7670.3870967741932</v>
      </c>
      <c r="AN19" s="2">
        <f>233345/31</f>
        <v>7527.2580645161288</v>
      </c>
      <c r="AO19" s="2">
        <f>197134/28</f>
        <v>7040.5</v>
      </c>
      <c r="AP19" s="2">
        <f>268101/31</f>
        <v>8648.4193548387102</v>
      </c>
      <c r="AQ19" s="2">
        <f>247684/30</f>
        <v>8256.1333333333332</v>
      </c>
      <c r="AR19" s="2">
        <f>252693/31</f>
        <v>8151.3870967741932</v>
      </c>
      <c r="AS19" s="2">
        <f>231910/30</f>
        <v>7730.333333333333</v>
      </c>
      <c r="AT19" s="2">
        <f>236348/31</f>
        <v>7624.1290322580644</v>
      </c>
      <c r="AU19" s="2">
        <f>240376/31</f>
        <v>7754.0645161290322</v>
      </c>
      <c r="AV19" s="2">
        <f>224683/30</f>
        <v>7489.4333333333334</v>
      </c>
      <c r="AW19" s="2">
        <f>230186/31</f>
        <v>7425.3548387096771</v>
      </c>
      <c r="AX19" s="2">
        <f>220697/30</f>
        <v>7356.5666666666666</v>
      </c>
      <c r="AY19" s="2">
        <f>199482/30</f>
        <v>6649.4</v>
      </c>
      <c r="AZ19" s="2">
        <f>230223/31</f>
        <v>7426.5483870967746</v>
      </c>
      <c r="BA19" s="2">
        <f>199060/28</f>
        <v>7109.2857142857147</v>
      </c>
      <c r="BB19" s="2">
        <f>205900/30</f>
        <v>6863.333333333333</v>
      </c>
      <c r="BC19" s="2">
        <f>205194/30</f>
        <v>6839.8</v>
      </c>
      <c r="BD19" s="2">
        <f>145624/22</f>
        <v>6619.272727272727</v>
      </c>
      <c r="BE19" s="2">
        <f>211818/30</f>
        <v>7060.6</v>
      </c>
    </row>
    <row r="20" spans="1:61" ht="15.6" x14ac:dyDescent="0.25">
      <c r="A20" s="17" t="s">
        <v>29</v>
      </c>
      <c r="B20" s="7" t="s">
        <v>25</v>
      </c>
      <c r="C20" s="1"/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10">
        <f>76258/13</f>
        <v>5866</v>
      </c>
      <c r="AM20" s="12">
        <v>0</v>
      </c>
      <c r="AN20" s="12">
        <v>0</v>
      </c>
      <c r="AO20" s="12">
        <v>0</v>
      </c>
      <c r="AP20" s="12">
        <v>0</v>
      </c>
      <c r="AQ20" s="10">
        <f>189783/28</f>
        <v>6777.9642857142853</v>
      </c>
      <c r="AR20" s="2">
        <f>231601/31</f>
        <v>7471</v>
      </c>
      <c r="AS20" s="2">
        <f>257830/30</f>
        <v>8594.3333333333339</v>
      </c>
      <c r="AT20" s="2">
        <f>280235/31</f>
        <v>9039.8387096774186</v>
      </c>
      <c r="AU20" s="2">
        <f>336228/31</f>
        <v>10846.064516129032</v>
      </c>
      <c r="AV20" s="2">
        <f>329049/30</f>
        <v>10968.3</v>
      </c>
      <c r="AW20" s="2">
        <f>340830/31</f>
        <v>10994.516129032258</v>
      </c>
      <c r="AX20" s="2">
        <f>352708/30</f>
        <v>11756.933333333332</v>
      </c>
      <c r="AY20" s="2">
        <f>332052/30</f>
        <v>11068.4</v>
      </c>
      <c r="AZ20" s="2">
        <f>369781/31</f>
        <v>11928.41935483871</v>
      </c>
      <c r="BA20" s="2">
        <f>347426/28</f>
        <v>12408.071428571429</v>
      </c>
      <c r="BB20" s="2">
        <f>376138/31</f>
        <v>12133.483870967742</v>
      </c>
      <c r="BC20" s="2">
        <f>372455/30</f>
        <v>12415.166666666666</v>
      </c>
      <c r="BD20" s="2">
        <f>266625/23</f>
        <v>11592.391304347826</v>
      </c>
      <c r="BE20" s="2">
        <f>393216/30</f>
        <v>13107.2</v>
      </c>
    </row>
    <row r="21" spans="1:61" ht="15.6" x14ac:dyDescent="0.25">
      <c r="A21" s="17" t="s">
        <v>29</v>
      </c>
      <c r="B21" s="7" t="s">
        <v>26</v>
      </c>
      <c r="C21" s="1"/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10">
        <f>144019/18</f>
        <v>8001.0555555555557</v>
      </c>
      <c r="AZ21" s="4">
        <f>314445/31</f>
        <v>10143.387096774193</v>
      </c>
      <c r="BA21" s="4">
        <f>321119/28</f>
        <v>11468.535714285714</v>
      </c>
      <c r="BB21" s="4">
        <f>356239/31</f>
        <v>11491.58064516129</v>
      </c>
      <c r="BC21" s="4">
        <f>314800/30</f>
        <v>10493.333333333334</v>
      </c>
      <c r="BD21" s="4">
        <f>246597/23</f>
        <v>10721.608695652174</v>
      </c>
      <c r="BE21" s="4">
        <f>331248/30</f>
        <v>11041.6</v>
      </c>
    </row>
    <row r="22" spans="1:61" ht="15.6" x14ac:dyDescent="0.25">
      <c r="B22" s="17" t="s">
        <v>29</v>
      </c>
      <c r="C22" s="5">
        <f>SUM(C16:C21)</f>
        <v>9897.1299999999992</v>
      </c>
      <c r="D22" s="5">
        <f t="shared" ref="D22:BE22" si="3">SUM(D16:D21)</f>
        <v>12489.75</v>
      </c>
      <c r="E22" s="5">
        <f t="shared" si="3"/>
        <v>19790.05</v>
      </c>
      <c r="F22" s="5">
        <f t="shared" si="3"/>
        <v>14147.064516129032</v>
      </c>
      <c r="G22" s="5">
        <f t="shared" si="3"/>
        <v>23428.066666666666</v>
      </c>
      <c r="H22" s="5">
        <f t="shared" si="3"/>
        <v>24973.758620689656</v>
      </c>
      <c r="I22" s="5">
        <f t="shared" si="3"/>
        <v>25630.633333333331</v>
      </c>
      <c r="J22" s="5">
        <f t="shared" si="3"/>
        <v>32589.207161125323</v>
      </c>
      <c r="K22" s="5">
        <f t="shared" si="3"/>
        <v>36329.096774193546</v>
      </c>
      <c r="L22" s="5">
        <f t="shared" si="3"/>
        <v>35053.866666666669</v>
      </c>
      <c r="M22" s="5">
        <f t="shared" si="3"/>
        <v>33652.387096774197</v>
      </c>
      <c r="N22" s="5">
        <f t="shared" si="3"/>
        <v>32058.241379310341</v>
      </c>
      <c r="O22" s="5">
        <f t="shared" si="3"/>
        <v>34150.870967741939</v>
      </c>
      <c r="P22" s="5">
        <f t="shared" si="3"/>
        <v>34087.096774193546</v>
      </c>
      <c r="Q22" s="5">
        <f t="shared" si="3"/>
        <v>34581.413793103449</v>
      </c>
      <c r="R22" s="5">
        <f t="shared" si="3"/>
        <v>36057.774193548386</v>
      </c>
      <c r="S22" s="5">
        <f t="shared" si="3"/>
        <v>35016.481720430107</v>
      </c>
      <c r="T22" s="5">
        <f t="shared" si="3"/>
        <v>34192.559999999998</v>
      </c>
      <c r="U22" s="5">
        <f t="shared" si="3"/>
        <v>36386.433333333334</v>
      </c>
      <c r="V22" s="5">
        <f t="shared" si="3"/>
        <v>35793.838709677417</v>
      </c>
      <c r="W22" s="5">
        <f t="shared" si="3"/>
        <v>36234.838709677417</v>
      </c>
      <c r="X22" s="5">
        <f t="shared" si="3"/>
        <v>35602.233333333337</v>
      </c>
      <c r="Y22" s="5">
        <f t="shared" si="3"/>
        <v>33641.741935483871</v>
      </c>
      <c r="Z22" s="5">
        <f t="shared" si="3"/>
        <v>34929.733333333337</v>
      </c>
      <c r="AA22" s="5">
        <f t="shared" si="3"/>
        <v>35641.741935483871</v>
      </c>
      <c r="AB22" s="5">
        <f t="shared" si="3"/>
        <v>37959.911827956988</v>
      </c>
      <c r="AC22" s="5">
        <f t="shared" si="3"/>
        <v>35785.928571428572</v>
      </c>
      <c r="AD22" s="5">
        <f t="shared" si="3"/>
        <v>39331.277649769589</v>
      </c>
      <c r="AE22" s="5">
        <f t="shared" si="3"/>
        <v>41068.433333333334</v>
      </c>
      <c r="AF22" s="5">
        <f t="shared" si="3"/>
        <v>41561.096774193553</v>
      </c>
      <c r="AG22" s="5">
        <f t="shared" si="3"/>
        <v>40478.166666666664</v>
      </c>
      <c r="AH22" s="5">
        <f t="shared" si="3"/>
        <v>40039.360400444944</v>
      </c>
      <c r="AI22" s="5">
        <f t="shared" si="3"/>
        <v>27230.76206896552</v>
      </c>
      <c r="AJ22" s="5">
        <f t="shared" si="3"/>
        <v>22223.3</v>
      </c>
      <c r="AK22" s="5">
        <f t="shared" si="3"/>
        <v>23779.964285714286</v>
      </c>
      <c r="AL22" s="5">
        <f t="shared" si="3"/>
        <v>29875.538095238095</v>
      </c>
      <c r="AM22" s="5">
        <f t="shared" si="3"/>
        <v>25759.354838709678</v>
      </c>
      <c r="AN22" s="5">
        <f t="shared" si="3"/>
        <v>25933.806451612902</v>
      </c>
      <c r="AO22" s="5">
        <f t="shared" si="3"/>
        <v>26885.75</v>
      </c>
      <c r="AP22" s="5">
        <f t="shared" si="3"/>
        <v>28722.774193548386</v>
      </c>
      <c r="AQ22" s="5">
        <f t="shared" si="3"/>
        <v>34331.264285714278</v>
      </c>
      <c r="AR22" s="5">
        <f t="shared" si="3"/>
        <v>35076.451612903227</v>
      </c>
      <c r="AS22" s="5">
        <f t="shared" si="3"/>
        <v>35772.766666666663</v>
      </c>
      <c r="AT22" s="5">
        <f t="shared" si="3"/>
        <v>34981</v>
      </c>
      <c r="AU22" s="5">
        <f t="shared" si="3"/>
        <v>37411.225806451606</v>
      </c>
      <c r="AV22" s="5">
        <f t="shared" si="3"/>
        <v>37211.100000000006</v>
      </c>
      <c r="AW22" s="5">
        <f t="shared" si="3"/>
        <v>36753.032258064515</v>
      </c>
      <c r="AX22" s="5">
        <f t="shared" si="3"/>
        <v>36839.666666666664</v>
      </c>
      <c r="AY22" s="5">
        <f t="shared" si="3"/>
        <v>42622.756704980842</v>
      </c>
      <c r="AZ22" s="5">
        <f t="shared" si="3"/>
        <v>47543.161290322576</v>
      </c>
      <c r="BA22" s="5">
        <f t="shared" si="3"/>
        <v>50031.357142857145</v>
      </c>
      <c r="BB22" s="5">
        <f t="shared" si="3"/>
        <v>49365.333333333328</v>
      </c>
      <c r="BC22" s="5">
        <f t="shared" si="3"/>
        <v>48997.7</v>
      </c>
      <c r="BD22" s="5">
        <f t="shared" si="3"/>
        <v>46726.11067193676</v>
      </c>
      <c r="BE22" s="5">
        <f t="shared" si="3"/>
        <v>49942.76666666667</v>
      </c>
    </row>
    <row r="23" spans="1:61" ht="15.6" x14ac:dyDescent="0.25">
      <c r="B23" s="17" t="s">
        <v>40</v>
      </c>
      <c r="C23" s="27">
        <f>C22/C31</f>
        <v>4948.5649999999996</v>
      </c>
      <c r="D23" s="27">
        <f t="shared" ref="D23:BE23" si="4">D22/D31</f>
        <v>3122.4375</v>
      </c>
      <c r="E23" s="27">
        <f t="shared" si="4"/>
        <v>4947.5124999999998</v>
      </c>
      <c r="F23" s="27">
        <f t="shared" si="4"/>
        <v>3536.766129032258</v>
      </c>
      <c r="G23" s="27">
        <f t="shared" si="4"/>
        <v>4685.6133333333328</v>
      </c>
      <c r="H23" s="27">
        <f t="shared" si="4"/>
        <v>4994.751724137931</v>
      </c>
      <c r="I23" s="27">
        <f t="shared" si="4"/>
        <v>5126.1266666666661</v>
      </c>
      <c r="J23" s="27">
        <f t="shared" si="4"/>
        <v>5431.5345268542205</v>
      </c>
      <c r="K23" s="27">
        <f t="shared" si="4"/>
        <v>6054.8494623655906</v>
      </c>
      <c r="L23" s="27">
        <f t="shared" si="4"/>
        <v>5842.3111111111111</v>
      </c>
      <c r="M23" s="27">
        <f t="shared" si="4"/>
        <v>5608.7311827956992</v>
      </c>
      <c r="N23" s="27">
        <f t="shared" si="4"/>
        <v>5343.0402298850568</v>
      </c>
      <c r="O23" s="27">
        <f t="shared" si="4"/>
        <v>5691.8118279569899</v>
      </c>
      <c r="P23" s="27">
        <f t="shared" si="4"/>
        <v>5681.1827956989246</v>
      </c>
      <c r="Q23" s="27">
        <f t="shared" si="4"/>
        <v>5763.5689655172418</v>
      </c>
      <c r="R23" s="27">
        <f t="shared" si="4"/>
        <v>6009.6290322580644</v>
      </c>
      <c r="S23" s="27">
        <f t="shared" si="4"/>
        <v>5836.0802867383509</v>
      </c>
      <c r="T23" s="27">
        <f t="shared" si="4"/>
        <v>5698.7599999999993</v>
      </c>
      <c r="U23" s="27">
        <f t="shared" si="4"/>
        <v>6064.405555555556</v>
      </c>
      <c r="V23" s="27">
        <f t="shared" si="4"/>
        <v>5965.6397849462364</v>
      </c>
      <c r="W23" s="27">
        <f t="shared" si="4"/>
        <v>6039.1397849462364</v>
      </c>
      <c r="X23" s="27">
        <f t="shared" si="4"/>
        <v>5933.7055555555562</v>
      </c>
      <c r="Y23" s="27">
        <f t="shared" si="4"/>
        <v>5606.9569892473119</v>
      </c>
      <c r="Z23" s="27">
        <f t="shared" si="4"/>
        <v>5821.6222222222232</v>
      </c>
      <c r="AA23" s="27">
        <f t="shared" si="4"/>
        <v>5940.2903225806449</v>
      </c>
      <c r="AB23" s="27">
        <f t="shared" si="4"/>
        <v>5422.8445468509981</v>
      </c>
      <c r="AC23" s="27">
        <f t="shared" si="4"/>
        <v>5112.2755102040819</v>
      </c>
      <c r="AD23" s="27">
        <f t="shared" si="4"/>
        <v>5618.7539499670838</v>
      </c>
      <c r="AE23" s="27">
        <f t="shared" si="4"/>
        <v>5866.9190476190479</v>
      </c>
      <c r="AF23" s="27">
        <f t="shared" si="4"/>
        <v>5937.2995391705072</v>
      </c>
      <c r="AG23" s="27">
        <f t="shared" si="4"/>
        <v>5782.5952380952376</v>
      </c>
      <c r="AH23" s="27">
        <f t="shared" si="4"/>
        <v>5719.9086286349921</v>
      </c>
      <c r="AI23" s="27">
        <f t="shared" si="4"/>
        <v>3890.1088669950741</v>
      </c>
      <c r="AJ23" s="27">
        <f t="shared" si="4"/>
        <v>3174.7571428571428</v>
      </c>
      <c r="AK23" s="27">
        <f t="shared" si="4"/>
        <v>3397.137755102041</v>
      </c>
      <c r="AL23" s="27">
        <f t="shared" si="4"/>
        <v>3734.4422619047618</v>
      </c>
      <c r="AM23" s="27">
        <f t="shared" si="4"/>
        <v>3219.9193548387098</v>
      </c>
      <c r="AN23" s="27">
        <f t="shared" si="4"/>
        <v>3241.7258064516127</v>
      </c>
      <c r="AO23" s="27">
        <f t="shared" si="4"/>
        <v>3360.71875</v>
      </c>
      <c r="AP23" s="27">
        <f t="shared" si="4"/>
        <v>3590.3467741935483</v>
      </c>
      <c r="AQ23" s="27">
        <f t="shared" si="4"/>
        <v>3814.5849206349199</v>
      </c>
      <c r="AR23" s="27">
        <f t="shared" si="4"/>
        <v>3897.3835125448031</v>
      </c>
      <c r="AS23" s="27">
        <f t="shared" si="4"/>
        <v>3974.7518518518514</v>
      </c>
      <c r="AT23" s="27">
        <f t="shared" si="4"/>
        <v>3886.7777777777778</v>
      </c>
      <c r="AU23" s="27">
        <f t="shared" si="4"/>
        <v>4156.8028673835115</v>
      </c>
      <c r="AV23" s="27">
        <f t="shared" si="4"/>
        <v>4134.5666666666675</v>
      </c>
      <c r="AW23" s="27">
        <f t="shared" si="4"/>
        <v>4083.670250896057</v>
      </c>
      <c r="AX23" s="27">
        <f t="shared" si="4"/>
        <v>4093.2962962962961</v>
      </c>
      <c r="AY23" s="27">
        <f t="shared" si="4"/>
        <v>4262.2756704980839</v>
      </c>
      <c r="AZ23" s="27">
        <f t="shared" si="4"/>
        <v>4754.3161290322578</v>
      </c>
      <c r="BA23" s="27">
        <f t="shared" si="4"/>
        <v>5003.1357142857141</v>
      </c>
      <c r="BB23" s="27">
        <f t="shared" si="4"/>
        <v>4936.5333333333328</v>
      </c>
      <c r="BC23" s="27">
        <f t="shared" si="4"/>
        <v>4899.7699999999995</v>
      </c>
      <c r="BD23" s="27">
        <f t="shared" si="4"/>
        <v>4672.6110671936758</v>
      </c>
      <c r="BE23" s="27">
        <f t="shared" si="4"/>
        <v>4994.2766666666666</v>
      </c>
      <c r="BF23" s="29">
        <f>AVERAGE(C23:BE23)</f>
        <v>4878.7188797700301</v>
      </c>
      <c r="BG23" s="53" t="s">
        <v>58</v>
      </c>
    </row>
    <row r="24" spans="1:61" ht="15.6" x14ac:dyDescent="0.25">
      <c r="B24" s="8" t="s">
        <v>27</v>
      </c>
      <c r="C24" s="22">
        <f>C14+C22</f>
        <v>19123.987142857142</v>
      </c>
      <c r="D24" s="13">
        <f>D14+D22</f>
        <v>32642.056878306877</v>
      </c>
      <c r="E24" s="13">
        <f t="shared" ref="E24:BE24" si="5">E14+E22</f>
        <v>49933.107692307691</v>
      </c>
      <c r="F24" s="13">
        <f t="shared" si="5"/>
        <v>51680.151472650767</v>
      </c>
      <c r="G24" s="13">
        <f t="shared" si="5"/>
        <v>62606.2</v>
      </c>
      <c r="H24" s="13">
        <f t="shared" si="5"/>
        <v>63403.629588431591</v>
      </c>
      <c r="I24" s="13">
        <f t="shared" si="5"/>
        <v>65152.9</v>
      </c>
      <c r="J24" s="13">
        <f t="shared" si="5"/>
        <v>69962.501156984537</v>
      </c>
      <c r="K24" s="13">
        <f t="shared" si="5"/>
        <v>74197.483870967742</v>
      </c>
      <c r="L24" s="13">
        <f t="shared" si="5"/>
        <v>70338.466666666674</v>
      </c>
      <c r="M24" s="13">
        <f t="shared" si="5"/>
        <v>69876.870967741939</v>
      </c>
      <c r="N24" s="13">
        <f t="shared" si="5"/>
        <v>65470.019157088122</v>
      </c>
      <c r="O24" s="13">
        <f t="shared" si="5"/>
        <v>71277.290322580651</v>
      </c>
      <c r="P24" s="13">
        <f t="shared" si="5"/>
        <v>70901.903225806454</v>
      </c>
      <c r="Q24" s="13">
        <f t="shared" si="5"/>
        <v>71220.206896551725</v>
      </c>
      <c r="R24" s="13">
        <f t="shared" si="5"/>
        <v>73120.161290322576</v>
      </c>
      <c r="S24" s="13">
        <f t="shared" si="5"/>
        <v>78885.648387096764</v>
      </c>
      <c r="T24" s="13">
        <f t="shared" si="5"/>
        <v>83972.067526881714</v>
      </c>
      <c r="U24" s="13">
        <f t="shared" si="5"/>
        <v>97048.048484848492</v>
      </c>
      <c r="V24" s="13">
        <f t="shared" si="5"/>
        <v>94708.322580645152</v>
      </c>
      <c r="W24" s="13">
        <f t="shared" si="5"/>
        <v>100279.21658986175</v>
      </c>
      <c r="X24" s="13">
        <f t="shared" si="5"/>
        <v>103212.93333333333</v>
      </c>
      <c r="Y24" s="13">
        <f t="shared" si="5"/>
        <v>103691.93548387097</v>
      </c>
      <c r="Z24" s="13">
        <f t="shared" si="5"/>
        <v>100183.22471264369</v>
      </c>
      <c r="AA24" s="13">
        <f t="shared" si="5"/>
        <v>108436.4193548387</v>
      </c>
      <c r="AB24" s="13">
        <f t="shared" si="5"/>
        <v>109909.16989247312</v>
      </c>
      <c r="AC24" s="13">
        <f t="shared" si="5"/>
        <v>107270.67857142858</v>
      </c>
      <c r="AD24" s="13">
        <f t="shared" si="5"/>
        <v>110783.43894009216</v>
      </c>
      <c r="AE24" s="13">
        <f t="shared" si="5"/>
        <v>113862.23333333334</v>
      </c>
      <c r="AF24" s="13">
        <f t="shared" si="5"/>
        <v>122532.7691001698</v>
      </c>
      <c r="AG24" s="13">
        <f t="shared" si="5"/>
        <v>123320.5</v>
      </c>
      <c r="AH24" s="13">
        <f t="shared" si="5"/>
        <v>123230.18576195773</v>
      </c>
      <c r="AI24" s="13">
        <f t="shared" si="5"/>
        <v>110111.53626251391</v>
      </c>
      <c r="AJ24" s="13">
        <f t="shared" si="5"/>
        <v>110716.8</v>
      </c>
      <c r="AK24" s="13">
        <f t="shared" si="5"/>
        <v>106493.60714285714</v>
      </c>
      <c r="AL24" s="13">
        <f t="shared" si="5"/>
        <v>115763.60476190476</v>
      </c>
      <c r="AM24" s="13">
        <f t="shared" si="5"/>
        <v>111042.25806451614</v>
      </c>
      <c r="AN24" s="13">
        <f t="shared" si="5"/>
        <v>112271.72525027808</v>
      </c>
      <c r="AO24" s="13">
        <f t="shared" si="5"/>
        <v>116309.67857142857</v>
      </c>
      <c r="AP24" s="13">
        <f t="shared" si="5"/>
        <v>119108.93548387097</v>
      </c>
      <c r="AQ24" s="13">
        <f t="shared" si="5"/>
        <v>117465.76428571428</v>
      </c>
      <c r="AR24" s="13">
        <f t="shared" si="5"/>
        <v>130754.19354838709</v>
      </c>
      <c r="AS24" s="13">
        <f t="shared" si="5"/>
        <v>139685.44444444444</v>
      </c>
      <c r="AT24" s="13">
        <f t="shared" si="5"/>
        <v>144285.58064516127</v>
      </c>
      <c r="AU24" s="13">
        <f t="shared" si="5"/>
        <v>149659.12903225806</v>
      </c>
      <c r="AV24" s="13">
        <f t="shared" si="5"/>
        <v>147212.76666666666</v>
      </c>
      <c r="AW24" s="13">
        <f t="shared" si="5"/>
        <v>142527.09677419357</v>
      </c>
      <c r="AX24" s="13">
        <f t="shared" si="5"/>
        <v>142091.908045977</v>
      </c>
      <c r="AY24" s="13">
        <f t="shared" si="5"/>
        <v>148458.24057594856</v>
      </c>
      <c r="AZ24" s="13">
        <f t="shared" si="5"/>
        <v>153789.25806451612</v>
      </c>
      <c r="BA24" s="13">
        <f t="shared" si="5"/>
        <v>151211.5</v>
      </c>
      <c r="BB24" s="13">
        <f t="shared" si="5"/>
        <v>148196.49462365592</v>
      </c>
      <c r="BC24" s="13">
        <f t="shared" si="5"/>
        <v>148504.86666666664</v>
      </c>
      <c r="BD24" s="13">
        <f t="shared" si="5"/>
        <v>144779.61067193674</v>
      </c>
      <c r="BE24" s="13">
        <f t="shared" si="5"/>
        <v>147502.53333333333</v>
      </c>
      <c r="BF24" s="29">
        <f>AVERAGE(C24:BE24)</f>
        <v>104003.20475089035</v>
      </c>
      <c r="BG24" s="19" t="s">
        <v>59</v>
      </c>
    </row>
    <row r="25" spans="1:61" ht="13.8" x14ac:dyDescent="0.25">
      <c r="BF25" s="54">
        <f>BF3*BF24</f>
        <v>173893358.34348866</v>
      </c>
      <c r="BG25" s="55" t="s">
        <v>57</v>
      </c>
      <c r="BH25" s="14"/>
      <c r="BI25" s="14"/>
    </row>
    <row r="26" spans="1:61" x14ac:dyDescent="0.25">
      <c r="B26" s="9" t="s">
        <v>30</v>
      </c>
      <c r="C26" s="21">
        <v>1</v>
      </c>
      <c r="D26" s="21">
        <v>1</v>
      </c>
      <c r="E26" s="21">
        <v>1</v>
      </c>
      <c r="J26" s="6"/>
      <c r="S26" s="21">
        <v>1</v>
      </c>
      <c r="U26" s="21">
        <v>1</v>
      </c>
      <c r="W26" s="21">
        <v>1</v>
      </c>
      <c r="AB26" s="6"/>
      <c r="AF26" s="21">
        <v>1</v>
      </c>
      <c r="AL26" s="6"/>
      <c r="AN26" s="21">
        <v>1</v>
      </c>
      <c r="AS26" s="21">
        <v>1</v>
      </c>
      <c r="AY26" s="6"/>
      <c r="BF26">
        <f>SUM(C26:BE26)</f>
        <v>9</v>
      </c>
    </row>
    <row r="27" spans="1:61" x14ac:dyDescent="0.25">
      <c r="B27" s="9" t="s">
        <v>31</v>
      </c>
      <c r="C27" s="18">
        <v>2</v>
      </c>
      <c r="D27" s="18">
        <v>2</v>
      </c>
      <c r="E27" s="6"/>
      <c r="G27" s="18">
        <v>1</v>
      </c>
      <c r="J27" s="18">
        <v>1</v>
      </c>
      <c r="K27" s="19"/>
      <c r="S27" s="6"/>
      <c r="U27" s="6"/>
      <c r="W27" s="6"/>
      <c r="AB27" s="18">
        <v>1</v>
      </c>
      <c r="AF27" s="6"/>
      <c r="AL27" s="18">
        <v>1</v>
      </c>
      <c r="AN27" s="6"/>
      <c r="AQ27" s="18">
        <v>1</v>
      </c>
      <c r="AS27" s="6"/>
      <c r="AY27" s="18">
        <v>1</v>
      </c>
      <c r="BF27">
        <f>SUM(C27:BE27)</f>
        <v>10</v>
      </c>
    </row>
    <row r="28" spans="1:61" s="6" customFormat="1" x14ac:dyDescent="0.25">
      <c r="A28" s="32" t="s">
        <v>42</v>
      </c>
      <c r="B28" s="20" t="s">
        <v>34</v>
      </c>
      <c r="C28" s="11">
        <f>SUM(C26:C27)</f>
        <v>3</v>
      </c>
      <c r="D28" s="11">
        <f>SUM(D26:D27)</f>
        <v>3</v>
      </c>
      <c r="E28" s="11">
        <f>SUM(E26:E27)</f>
        <v>1</v>
      </c>
      <c r="G28" s="11">
        <f>SUM(G26:G27)</f>
        <v>1</v>
      </c>
      <c r="J28" s="11">
        <f>SUM(J26:J27)</f>
        <v>1</v>
      </c>
      <c r="S28" s="11">
        <f>SUM(S26:S27)</f>
        <v>1</v>
      </c>
      <c r="U28" s="11">
        <f>SUM(U26:U27)</f>
        <v>1</v>
      </c>
      <c r="W28" s="11">
        <f>SUM(W26:W27)</f>
        <v>1</v>
      </c>
      <c r="AB28" s="11">
        <f>SUM(AB26:AB27)</f>
        <v>1</v>
      </c>
      <c r="AF28" s="11">
        <f>SUM(AF26:AF27)</f>
        <v>1</v>
      </c>
      <c r="AL28" s="11">
        <f>SUM(AL26:AL27)</f>
        <v>1</v>
      </c>
      <c r="AN28" s="11">
        <f>SUM(AN26:AN27)</f>
        <v>1</v>
      </c>
      <c r="AQ28" s="11">
        <f>SUM(AQ26:AQ27)</f>
        <v>1</v>
      </c>
      <c r="AS28" s="11">
        <f>SUM(AS26:AS27)</f>
        <v>1</v>
      </c>
      <c r="AY28" s="11">
        <f>SUM(AY26:AY27)</f>
        <v>1</v>
      </c>
    </row>
    <row r="29" spans="1:61" s="25" customFormat="1" x14ac:dyDescent="0.25">
      <c r="A29" s="26">
        <f>BE29</f>
        <v>19</v>
      </c>
      <c r="B29" s="24" t="s">
        <v>36</v>
      </c>
      <c r="C29" s="26">
        <v>3</v>
      </c>
      <c r="D29" s="26">
        <f t="shared" ref="D29:AI29" si="6">C29+D28</f>
        <v>6</v>
      </c>
      <c r="E29" s="26">
        <f t="shared" si="6"/>
        <v>7</v>
      </c>
      <c r="F29" s="26">
        <f t="shared" si="6"/>
        <v>7</v>
      </c>
      <c r="G29" s="26">
        <f t="shared" si="6"/>
        <v>8</v>
      </c>
      <c r="H29" s="26">
        <f t="shared" si="6"/>
        <v>8</v>
      </c>
      <c r="I29" s="26">
        <f t="shared" si="6"/>
        <v>8</v>
      </c>
      <c r="J29" s="26">
        <f t="shared" si="6"/>
        <v>9</v>
      </c>
      <c r="K29" s="26">
        <f t="shared" si="6"/>
        <v>9</v>
      </c>
      <c r="L29" s="26">
        <f t="shared" si="6"/>
        <v>9</v>
      </c>
      <c r="M29" s="26">
        <f t="shared" si="6"/>
        <v>9</v>
      </c>
      <c r="N29" s="26">
        <f t="shared" si="6"/>
        <v>9</v>
      </c>
      <c r="O29" s="26">
        <f t="shared" si="6"/>
        <v>9</v>
      </c>
      <c r="P29" s="26">
        <f t="shared" si="6"/>
        <v>9</v>
      </c>
      <c r="Q29" s="26">
        <f t="shared" si="6"/>
        <v>9</v>
      </c>
      <c r="R29" s="26">
        <f t="shared" si="6"/>
        <v>9</v>
      </c>
      <c r="S29" s="26">
        <f t="shared" si="6"/>
        <v>10</v>
      </c>
      <c r="T29" s="26">
        <f t="shared" si="6"/>
        <v>10</v>
      </c>
      <c r="U29" s="26">
        <f t="shared" si="6"/>
        <v>11</v>
      </c>
      <c r="V29" s="26">
        <f t="shared" si="6"/>
        <v>11</v>
      </c>
      <c r="W29" s="26">
        <f t="shared" si="6"/>
        <v>12</v>
      </c>
      <c r="X29" s="26">
        <f t="shared" si="6"/>
        <v>12</v>
      </c>
      <c r="Y29" s="26">
        <f t="shared" si="6"/>
        <v>12</v>
      </c>
      <c r="Z29" s="26">
        <f t="shared" si="6"/>
        <v>12</v>
      </c>
      <c r="AA29" s="26">
        <f t="shared" si="6"/>
        <v>12</v>
      </c>
      <c r="AB29" s="26">
        <f t="shared" si="6"/>
        <v>13</v>
      </c>
      <c r="AC29" s="26">
        <f t="shared" si="6"/>
        <v>13</v>
      </c>
      <c r="AD29" s="26">
        <f t="shared" si="6"/>
        <v>13</v>
      </c>
      <c r="AE29" s="26">
        <f t="shared" si="6"/>
        <v>13</v>
      </c>
      <c r="AF29" s="26">
        <f t="shared" si="6"/>
        <v>14</v>
      </c>
      <c r="AG29" s="26">
        <f t="shared" si="6"/>
        <v>14</v>
      </c>
      <c r="AH29" s="26">
        <f t="shared" si="6"/>
        <v>14</v>
      </c>
      <c r="AI29" s="26">
        <f t="shared" si="6"/>
        <v>14</v>
      </c>
      <c r="AJ29" s="26">
        <f t="shared" ref="AJ29:BO29" si="7">AI29+AJ28</f>
        <v>14</v>
      </c>
      <c r="AK29" s="26">
        <f t="shared" si="7"/>
        <v>14</v>
      </c>
      <c r="AL29" s="26">
        <f t="shared" si="7"/>
        <v>15</v>
      </c>
      <c r="AM29" s="26">
        <f t="shared" si="7"/>
        <v>15</v>
      </c>
      <c r="AN29" s="26">
        <f t="shared" si="7"/>
        <v>16</v>
      </c>
      <c r="AO29" s="26">
        <f t="shared" si="7"/>
        <v>16</v>
      </c>
      <c r="AP29" s="26">
        <f t="shared" si="7"/>
        <v>16</v>
      </c>
      <c r="AQ29" s="26">
        <f t="shared" si="7"/>
        <v>17</v>
      </c>
      <c r="AR29" s="26">
        <f t="shared" si="7"/>
        <v>17</v>
      </c>
      <c r="AS29" s="26">
        <f t="shared" si="7"/>
        <v>18</v>
      </c>
      <c r="AT29" s="26">
        <f t="shared" si="7"/>
        <v>18</v>
      </c>
      <c r="AU29" s="26">
        <f t="shared" si="7"/>
        <v>18</v>
      </c>
      <c r="AV29" s="26">
        <f t="shared" si="7"/>
        <v>18</v>
      </c>
      <c r="AW29" s="26">
        <f t="shared" si="7"/>
        <v>18</v>
      </c>
      <c r="AX29" s="26">
        <f t="shared" si="7"/>
        <v>18</v>
      </c>
      <c r="AY29" s="26">
        <f t="shared" si="7"/>
        <v>19</v>
      </c>
      <c r="AZ29" s="26">
        <f t="shared" si="7"/>
        <v>19</v>
      </c>
      <c r="BA29" s="26">
        <f t="shared" si="7"/>
        <v>19</v>
      </c>
      <c r="BB29" s="26">
        <f t="shared" si="7"/>
        <v>19</v>
      </c>
      <c r="BC29" s="26">
        <f t="shared" si="7"/>
        <v>19</v>
      </c>
      <c r="BD29" s="26">
        <f t="shared" si="7"/>
        <v>19</v>
      </c>
      <c r="BE29" s="26">
        <f t="shared" si="7"/>
        <v>19</v>
      </c>
    </row>
    <row r="30" spans="1:61" ht="15.6" x14ac:dyDescent="0.25">
      <c r="A30" s="33">
        <f t="shared" ref="A30:A31" si="8">BE30</f>
        <v>9</v>
      </c>
      <c r="B30" s="16" t="s">
        <v>37</v>
      </c>
      <c r="C30" s="16">
        <f>C26</f>
        <v>1</v>
      </c>
      <c r="D30" s="16">
        <f>C30+D26</f>
        <v>2</v>
      </c>
      <c r="E30" s="16">
        <f>D30+E26</f>
        <v>3</v>
      </c>
      <c r="F30" s="16">
        <f t="shared" ref="F30:S30" si="9">E30+F26</f>
        <v>3</v>
      </c>
      <c r="G30" s="16">
        <f t="shared" si="9"/>
        <v>3</v>
      </c>
      <c r="H30" s="16">
        <f t="shared" si="9"/>
        <v>3</v>
      </c>
      <c r="I30" s="16">
        <f t="shared" si="9"/>
        <v>3</v>
      </c>
      <c r="J30" s="16">
        <f t="shared" si="9"/>
        <v>3</v>
      </c>
      <c r="K30" s="16">
        <f t="shared" si="9"/>
        <v>3</v>
      </c>
      <c r="L30" s="16">
        <f t="shared" si="9"/>
        <v>3</v>
      </c>
      <c r="M30" s="16">
        <f t="shared" si="9"/>
        <v>3</v>
      </c>
      <c r="N30" s="16">
        <f t="shared" si="9"/>
        <v>3</v>
      </c>
      <c r="O30" s="16">
        <f t="shared" si="9"/>
        <v>3</v>
      </c>
      <c r="P30" s="16">
        <f t="shared" si="9"/>
        <v>3</v>
      </c>
      <c r="Q30" s="16">
        <f t="shared" si="9"/>
        <v>3</v>
      </c>
      <c r="R30" s="16">
        <f t="shared" si="9"/>
        <v>3</v>
      </c>
      <c r="S30" s="16">
        <f t="shared" si="9"/>
        <v>4</v>
      </c>
      <c r="T30" s="16">
        <f t="shared" ref="T30:BE30" si="10">S30+T26</f>
        <v>4</v>
      </c>
      <c r="U30" s="16">
        <f t="shared" si="10"/>
        <v>5</v>
      </c>
      <c r="V30" s="16">
        <f t="shared" si="10"/>
        <v>5</v>
      </c>
      <c r="W30" s="16">
        <f t="shared" si="10"/>
        <v>6</v>
      </c>
      <c r="X30" s="16">
        <f t="shared" si="10"/>
        <v>6</v>
      </c>
      <c r="Y30" s="16">
        <f t="shared" si="10"/>
        <v>6</v>
      </c>
      <c r="Z30" s="16">
        <f t="shared" si="10"/>
        <v>6</v>
      </c>
      <c r="AA30" s="16">
        <f t="shared" si="10"/>
        <v>6</v>
      </c>
      <c r="AB30" s="16">
        <f t="shared" si="10"/>
        <v>6</v>
      </c>
      <c r="AC30" s="16">
        <f t="shared" si="10"/>
        <v>6</v>
      </c>
      <c r="AD30" s="16">
        <f t="shared" si="10"/>
        <v>6</v>
      </c>
      <c r="AE30" s="16">
        <f t="shared" si="10"/>
        <v>6</v>
      </c>
      <c r="AF30" s="16">
        <f t="shared" si="10"/>
        <v>7</v>
      </c>
      <c r="AG30" s="16">
        <f t="shared" si="10"/>
        <v>7</v>
      </c>
      <c r="AH30" s="16">
        <f t="shared" si="10"/>
        <v>7</v>
      </c>
      <c r="AI30" s="16">
        <f t="shared" si="10"/>
        <v>7</v>
      </c>
      <c r="AJ30" s="16">
        <f t="shared" si="10"/>
        <v>7</v>
      </c>
      <c r="AK30" s="16">
        <f t="shared" si="10"/>
        <v>7</v>
      </c>
      <c r="AL30" s="16">
        <f t="shared" si="10"/>
        <v>7</v>
      </c>
      <c r="AM30" s="16">
        <f t="shared" si="10"/>
        <v>7</v>
      </c>
      <c r="AN30" s="16">
        <f t="shared" si="10"/>
        <v>8</v>
      </c>
      <c r="AO30" s="16">
        <f t="shared" si="10"/>
        <v>8</v>
      </c>
      <c r="AP30" s="16">
        <f t="shared" si="10"/>
        <v>8</v>
      </c>
      <c r="AQ30" s="16">
        <f t="shared" si="10"/>
        <v>8</v>
      </c>
      <c r="AR30" s="16">
        <f t="shared" si="10"/>
        <v>8</v>
      </c>
      <c r="AS30" s="16">
        <f t="shared" si="10"/>
        <v>9</v>
      </c>
      <c r="AT30" s="16">
        <f t="shared" si="10"/>
        <v>9</v>
      </c>
      <c r="AU30" s="16">
        <f t="shared" si="10"/>
        <v>9</v>
      </c>
      <c r="AV30" s="16">
        <f t="shared" si="10"/>
        <v>9</v>
      </c>
      <c r="AW30" s="16">
        <f t="shared" si="10"/>
        <v>9</v>
      </c>
      <c r="AX30" s="16">
        <f t="shared" si="10"/>
        <v>9</v>
      </c>
      <c r="AY30" s="16">
        <f t="shared" si="10"/>
        <v>9</v>
      </c>
      <c r="AZ30" s="16">
        <f t="shared" si="10"/>
        <v>9</v>
      </c>
      <c r="BA30" s="16">
        <f t="shared" si="10"/>
        <v>9</v>
      </c>
      <c r="BB30" s="16">
        <f t="shared" si="10"/>
        <v>9</v>
      </c>
      <c r="BC30" s="16">
        <f t="shared" si="10"/>
        <v>9</v>
      </c>
      <c r="BD30" s="16">
        <f t="shared" si="10"/>
        <v>9</v>
      </c>
      <c r="BE30" s="16">
        <f t="shared" si="10"/>
        <v>9</v>
      </c>
    </row>
    <row r="31" spans="1:61" ht="15.6" x14ac:dyDescent="0.25">
      <c r="A31" s="34">
        <f t="shared" si="8"/>
        <v>10</v>
      </c>
      <c r="B31" s="17" t="s">
        <v>38</v>
      </c>
      <c r="C31" s="17">
        <f>C27</f>
        <v>2</v>
      </c>
      <c r="D31" s="17">
        <f>C31+D27</f>
        <v>4</v>
      </c>
      <c r="E31" s="17">
        <f t="shared" ref="E31:S31" si="11">D31+E27</f>
        <v>4</v>
      </c>
      <c r="F31" s="17">
        <f t="shared" si="11"/>
        <v>4</v>
      </c>
      <c r="G31" s="17">
        <f t="shared" si="11"/>
        <v>5</v>
      </c>
      <c r="H31" s="17">
        <f t="shared" si="11"/>
        <v>5</v>
      </c>
      <c r="I31" s="17">
        <f t="shared" si="11"/>
        <v>5</v>
      </c>
      <c r="J31" s="17">
        <f t="shared" si="11"/>
        <v>6</v>
      </c>
      <c r="K31" s="17">
        <f t="shared" si="11"/>
        <v>6</v>
      </c>
      <c r="L31" s="17">
        <f t="shared" si="11"/>
        <v>6</v>
      </c>
      <c r="M31" s="17">
        <f t="shared" si="11"/>
        <v>6</v>
      </c>
      <c r="N31" s="17">
        <f t="shared" si="11"/>
        <v>6</v>
      </c>
      <c r="O31" s="17">
        <f t="shared" si="11"/>
        <v>6</v>
      </c>
      <c r="P31" s="17">
        <f t="shared" si="11"/>
        <v>6</v>
      </c>
      <c r="Q31" s="17">
        <f t="shared" si="11"/>
        <v>6</v>
      </c>
      <c r="R31" s="17">
        <f t="shared" si="11"/>
        <v>6</v>
      </c>
      <c r="S31" s="17">
        <f t="shared" si="11"/>
        <v>6</v>
      </c>
      <c r="T31" s="17">
        <f t="shared" ref="T31:BE31" si="12">S31+T27</f>
        <v>6</v>
      </c>
      <c r="U31" s="17">
        <f t="shared" si="12"/>
        <v>6</v>
      </c>
      <c r="V31" s="17">
        <f t="shared" si="12"/>
        <v>6</v>
      </c>
      <c r="W31" s="17">
        <f t="shared" si="12"/>
        <v>6</v>
      </c>
      <c r="X31" s="17">
        <f t="shared" si="12"/>
        <v>6</v>
      </c>
      <c r="Y31" s="17">
        <f t="shared" si="12"/>
        <v>6</v>
      </c>
      <c r="Z31" s="17">
        <f t="shared" si="12"/>
        <v>6</v>
      </c>
      <c r="AA31" s="17">
        <f t="shared" si="12"/>
        <v>6</v>
      </c>
      <c r="AB31" s="17">
        <f t="shared" si="12"/>
        <v>7</v>
      </c>
      <c r="AC31" s="17">
        <f t="shared" si="12"/>
        <v>7</v>
      </c>
      <c r="AD31" s="17">
        <f t="shared" si="12"/>
        <v>7</v>
      </c>
      <c r="AE31" s="17">
        <f t="shared" si="12"/>
        <v>7</v>
      </c>
      <c r="AF31" s="17">
        <f t="shared" si="12"/>
        <v>7</v>
      </c>
      <c r="AG31" s="17">
        <f t="shared" si="12"/>
        <v>7</v>
      </c>
      <c r="AH31" s="17">
        <f t="shared" si="12"/>
        <v>7</v>
      </c>
      <c r="AI31" s="17">
        <f t="shared" si="12"/>
        <v>7</v>
      </c>
      <c r="AJ31" s="17">
        <f t="shared" si="12"/>
        <v>7</v>
      </c>
      <c r="AK31" s="17">
        <f t="shared" si="12"/>
        <v>7</v>
      </c>
      <c r="AL31" s="17">
        <f t="shared" si="12"/>
        <v>8</v>
      </c>
      <c r="AM31" s="17">
        <f t="shared" si="12"/>
        <v>8</v>
      </c>
      <c r="AN31" s="17">
        <f t="shared" si="12"/>
        <v>8</v>
      </c>
      <c r="AO31" s="17">
        <f t="shared" si="12"/>
        <v>8</v>
      </c>
      <c r="AP31" s="17">
        <f t="shared" si="12"/>
        <v>8</v>
      </c>
      <c r="AQ31" s="17">
        <f t="shared" si="12"/>
        <v>9</v>
      </c>
      <c r="AR31" s="17">
        <f t="shared" si="12"/>
        <v>9</v>
      </c>
      <c r="AS31" s="17">
        <f t="shared" si="12"/>
        <v>9</v>
      </c>
      <c r="AT31" s="17">
        <f t="shared" si="12"/>
        <v>9</v>
      </c>
      <c r="AU31" s="17">
        <f t="shared" si="12"/>
        <v>9</v>
      </c>
      <c r="AV31" s="17">
        <f t="shared" si="12"/>
        <v>9</v>
      </c>
      <c r="AW31" s="17">
        <f t="shared" si="12"/>
        <v>9</v>
      </c>
      <c r="AX31" s="17">
        <f t="shared" si="12"/>
        <v>9</v>
      </c>
      <c r="AY31" s="17">
        <f t="shared" si="12"/>
        <v>10</v>
      </c>
      <c r="AZ31" s="17">
        <f t="shared" si="12"/>
        <v>10</v>
      </c>
      <c r="BA31" s="17">
        <f t="shared" si="12"/>
        <v>10</v>
      </c>
      <c r="BB31" s="17">
        <f t="shared" si="12"/>
        <v>10</v>
      </c>
      <c r="BC31" s="17">
        <f t="shared" si="12"/>
        <v>10</v>
      </c>
      <c r="BD31" s="17">
        <f t="shared" si="12"/>
        <v>10</v>
      </c>
      <c r="BE31" s="17">
        <f t="shared" si="12"/>
        <v>10</v>
      </c>
    </row>
    <row r="32" spans="1:61" s="31" customFormat="1" ht="15.6" x14ac:dyDescent="0.25">
      <c r="A32" s="8" t="s">
        <v>54</v>
      </c>
      <c r="B32" s="50">
        <v>0.08</v>
      </c>
      <c r="C32" s="56" t="s">
        <v>43</v>
      </c>
      <c r="D32" s="56"/>
      <c r="E32" s="56"/>
      <c r="F32" s="56"/>
      <c r="G32" s="56"/>
      <c r="H32" s="56"/>
      <c r="I32" s="56"/>
      <c r="J32" s="56"/>
      <c r="K32" s="56"/>
      <c r="S32" s="56" t="s">
        <v>41</v>
      </c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L32" s="57" t="s">
        <v>33</v>
      </c>
      <c r="AM32" s="57"/>
      <c r="AN32" s="57"/>
      <c r="AO32" s="57"/>
      <c r="AP32" s="57"/>
      <c r="AQ32" s="57"/>
      <c r="AR32" s="57"/>
      <c r="AS32" s="57"/>
      <c r="AT32" s="57"/>
      <c r="AU32" s="57"/>
      <c r="AV32" s="57"/>
      <c r="AW32" s="57"/>
      <c r="AX32" s="57"/>
      <c r="AY32" s="57"/>
      <c r="BF32" s="15" t="s">
        <v>42</v>
      </c>
    </row>
    <row r="33" spans="1:59" x14ac:dyDescent="0.25">
      <c r="A33" s="47">
        <f>NPV(RATE/12,C33:BE33)</f>
        <v>6023132681.805439</v>
      </c>
      <c r="B33" s="20" t="s">
        <v>48</v>
      </c>
      <c r="C33" s="44">
        <f t="shared" ref="C33:AH33" si="13">C3*(C4-OPEX)*C24</f>
        <v>28065216.091628574</v>
      </c>
      <c r="D33" s="44">
        <f t="shared" si="13"/>
        <v>33149967.283333331</v>
      </c>
      <c r="E33" s="44">
        <f t="shared" si="13"/>
        <v>60259274.363076918</v>
      </c>
      <c r="F33" s="44">
        <f t="shared" si="13"/>
        <v>65509243.205217384</v>
      </c>
      <c r="G33" s="44">
        <f t="shared" si="13"/>
        <v>83616840.719999999</v>
      </c>
      <c r="H33" s="44">
        <f t="shared" si="13"/>
        <v>96467354.346206903</v>
      </c>
      <c r="I33" s="44">
        <f t="shared" si="13"/>
        <v>90849203.75999999</v>
      </c>
      <c r="J33" s="44">
        <f t="shared" si="13"/>
        <v>90136887.990612611</v>
      </c>
      <c r="K33" s="44">
        <f t="shared" si="13"/>
        <v>72499845.440000013</v>
      </c>
      <c r="L33" s="44">
        <f t="shared" si="13"/>
        <v>68833223.480000004</v>
      </c>
      <c r="M33" s="44">
        <f t="shared" si="13"/>
        <v>72415497.689999998</v>
      </c>
      <c r="N33" s="44">
        <f t="shared" si="13"/>
        <v>57489223.821839087</v>
      </c>
      <c r="O33" s="44">
        <f t="shared" si="13"/>
        <v>50842803.960000001</v>
      </c>
      <c r="P33" s="44">
        <f t="shared" si="13"/>
        <v>34507956.299999997</v>
      </c>
      <c r="Q33" s="44">
        <f t="shared" si="13"/>
        <v>34259768.325517237</v>
      </c>
      <c r="R33" s="44">
        <f t="shared" si="13"/>
        <v>52610687.249999993</v>
      </c>
      <c r="S33" s="44">
        <f t="shared" si="13"/>
        <v>62903416.02387096</v>
      </c>
      <c r="T33" s="44">
        <f t="shared" si="13"/>
        <v>82623476.122400001</v>
      </c>
      <c r="U33" s="44">
        <f t="shared" si="13"/>
        <v>96805428.363636374</v>
      </c>
      <c r="V33" s="44">
        <f t="shared" si="13"/>
        <v>87931942.099999994</v>
      </c>
      <c r="W33" s="44">
        <f t="shared" si="13"/>
        <v>95870942.228571445</v>
      </c>
      <c r="X33" s="44">
        <f t="shared" si="13"/>
        <v>97752969.159999996</v>
      </c>
      <c r="Y33" s="44">
        <f t="shared" si="13"/>
        <v>110962814.00000001</v>
      </c>
      <c r="Z33" s="44">
        <f t="shared" si="13"/>
        <v>89353418.121206895</v>
      </c>
      <c r="AA33" s="44">
        <f t="shared" si="13"/>
        <v>128780175.98999999</v>
      </c>
      <c r="AB33" s="44">
        <f t="shared" si="13"/>
        <v>134856353.27466667</v>
      </c>
      <c r="AC33" s="44">
        <f t="shared" si="13"/>
        <v>119752694.73</v>
      </c>
      <c r="AD33" s="44">
        <f t="shared" si="13"/>
        <v>125660546.95535716</v>
      </c>
      <c r="AE33" s="44">
        <f t="shared" si="13"/>
        <v>127445997.77000003</v>
      </c>
      <c r="AF33" s="44">
        <f t="shared" si="13"/>
        <v>134201564.70157897</v>
      </c>
      <c r="AG33" s="44">
        <f t="shared" si="13"/>
        <v>116056922.54999998</v>
      </c>
      <c r="AH33" s="44">
        <f t="shared" si="13"/>
        <v>127898145.19862068</v>
      </c>
      <c r="AI33" s="44">
        <f t="shared" ref="AI33:BE33" si="14">AI3*(AI4-OPEX)*AI24</f>
        <v>125273894.80586208</v>
      </c>
      <c r="AJ33" s="44">
        <f t="shared" si="14"/>
        <v>136679889.59999999</v>
      </c>
      <c r="AK33" s="44">
        <f t="shared" si="14"/>
        <v>140338340.42892855</v>
      </c>
      <c r="AL33" s="44">
        <f t="shared" si="14"/>
        <v>165692447.49571428</v>
      </c>
      <c r="AM33" s="44">
        <f t="shared" si="14"/>
        <v>169946844.70000005</v>
      </c>
      <c r="AN33" s="44">
        <f t="shared" si="14"/>
        <v>188221301.94758618</v>
      </c>
      <c r="AO33" s="44">
        <f t="shared" si="14"/>
        <v>163875684.71999997</v>
      </c>
      <c r="AP33" s="44">
        <f t="shared" si="14"/>
        <v>188385074.53999999</v>
      </c>
      <c r="AQ33" s="44">
        <f t="shared" si="14"/>
        <v>201254093.95071426</v>
      </c>
      <c r="AR33" s="44">
        <f t="shared" si="14"/>
        <v>251228492.40000001</v>
      </c>
      <c r="AS33" s="44">
        <f t="shared" si="14"/>
        <v>248961367.63333333</v>
      </c>
      <c r="AT33" s="44">
        <f t="shared" si="14"/>
        <v>265016540.24999997</v>
      </c>
      <c r="AU33" s="44">
        <f t="shared" si="14"/>
        <v>266906580.49000001</v>
      </c>
      <c r="AV33" s="44">
        <f t="shared" si="14"/>
        <v>282162709.87</v>
      </c>
      <c r="AW33" s="44">
        <f t="shared" si="14"/>
        <v>291742990.20000005</v>
      </c>
      <c r="AX33" s="44">
        <f t="shared" si="14"/>
        <v>212072172.75862068</v>
      </c>
      <c r="AY33" s="44">
        <f t="shared" si="14"/>
        <v>194949423.19471261</v>
      </c>
      <c r="AZ33" s="44">
        <f t="shared" si="14"/>
        <v>211723209.46999997</v>
      </c>
      <c r="BA33" s="44">
        <f t="shared" si="14"/>
        <v>207292821.12</v>
      </c>
      <c r="BB33" s="44">
        <f t="shared" si="14"/>
        <v>234941830.78666666</v>
      </c>
      <c r="BC33" s="44">
        <f t="shared" si="14"/>
        <v>250512859.57999995</v>
      </c>
      <c r="BD33" s="44">
        <f t="shared" si="14"/>
        <v>252773617.86434776</v>
      </c>
      <c r="BE33" s="49">
        <f t="shared" si="14"/>
        <v>217802240.71999997</v>
      </c>
      <c r="BF33" s="48">
        <f>SUM(C33:BE33)</f>
        <v>7598124229.8438263</v>
      </c>
      <c r="BG33" s="19" t="s">
        <v>47</v>
      </c>
    </row>
    <row r="34" spans="1:59" x14ac:dyDescent="0.25">
      <c r="A34" s="47">
        <f>-NPV(RATE/12,C34:BE34)</f>
        <v>-9722880633.6789722</v>
      </c>
      <c r="B34" s="20" t="s">
        <v>46</v>
      </c>
      <c r="C34" s="48">
        <f>A41+C26*MALOcost+C27*JACKcost</f>
        <v>5300000000</v>
      </c>
      <c r="D34" s="48">
        <f>D26*MALOcost+D27*JACKcost</f>
        <v>1000000000</v>
      </c>
      <c r="E34" s="48">
        <f>E26*MALOcost+E27*JACKcost</f>
        <v>300000000</v>
      </c>
      <c r="G34" s="48">
        <f>G26*MALOcost+G27*RecompCOST</f>
        <v>100000000</v>
      </c>
      <c r="J34" s="48">
        <f>J26*MALOcost+J27*RecompCOST</f>
        <v>100000000</v>
      </c>
      <c r="S34" s="48">
        <f>S26*MALOcost+S27*JACKcost</f>
        <v>300000000</v>
      </c>
      <c r="U34" s="48">
        <f>U26*MALOcost+U27*JACKcost</f>
        <v>300000000</v>
      </c>
      <c r="W34" s="48">
        <f>W26*MALOcost+W27*JACKcost</f>
        <v>300000000</v>
      </c>
      <c r="AB34" s="48">
        <f>AB26*MALOcost+AB27*RecompCOST</f>
        <v>100000000</v>
      </c>
      <c r="AF34" s="48">
        <f>AF26*MALOcost+AF27*JACKcost</f>
        <v>300000000</v>
      </c>
      <c r="AL34" s="45">
        <f>A42+AL27*JACKcost</f>
        <v>850000000</v>
      </c>
      <c r="AN34" s="48">
        <f>AN26*MALOcost+AN27*JACKcost</f>
        <v>300000000</v>
      </c>
      <c r="AQ34" s="48">
        <f>AQ26*MALOcost+AQ27*RecompCOST</f>
        <v>100000000</v>
      </c>
      <c r="AS34" s="48">
        <f>AS26*MALOcost+AS27*JACKcost</f>
        <v>300000000</v>
      </c>
      <c r="AY34" s="48">
        <f>AY26*MALOcost+AY27*JACKcost</f>
        <v>350000000</v>
      </c>
      <c r="BF34" s="48">
        <f>SUM(C34:BE34)</f>
        <v>10000000000</v>
      </c>
      <c r="BG34" s="19" t="s">
        <v>46</v>
      </c>
    </row>
    <row r="35" spans="1:59" x14ac:dyDescent="0.25">
      <c r="A35" s="46">
        <f>A33+A34</f>
        <v>-3699747951.8735332</v>
      </c>
      <c r="B35" s="19" t="s">
        <v>50</v>
      </c>
    </row>
    <row r="36" spans="1:59" ht="15.6" x14ac:dyDescent="0.25">
      <c r="A36" s="60" t="s">
        <v>55</v>
      </c>
      <c r="B36" s="60"/>
    </row>
    <row r="37" spans="1:59" x14ac:dyDescent="0.25">
      <c r="A37" s="42">
        <v>15</v>
      </c>
      <c r="B37" s="19" t="s">
        <v>49</v>
      </c>
    </row>
    <row r="38" spans="1:59" x14ac:dyDescent="0.25">
      <c r="A38" s="43">
        <v>300000000</v>
      </c>
      <c r="B38" s="19" t="s">
        <v>37</v>
      </c>
    </row>
    <row r="39" spans="1:59" x14ac:dyDescent="0.25">
      <c r="A39" s="43">
        <v>350000000</v>
      </c>
      <c r="B39" s="19" t="s">
        <v>38</v>
      </c>
    </row>
    <row r="40" spans="1:59" x14ac:dyDescent="0.25">
      <c r="A40" s="43">
        <v>100000000</v>
      </c>
      <c r="B40" s="19" t="s">
        <v>53</v>
      </c>
    </row>
    <row r="41" spans="1:59" x14ac:dyDescent="0.25">
      <c r="A41" s="43">
        <v>4300000000</v>
      </c>
      <c r="B41" s="19" t="s">
        <v>51</v>
      </c>
    </row>
    <row r="42" spans="1:59" x14ac:dyDescent="0.25">
      <c r="A42" s="43">
        <v>500000000</v>
      </c>
      <c r="B42" s="19" t="s">
        <v>52</v>
      </c>
    </row>
  </sheetData>
  <mergeCells count="5">
    <mergeCell ref="C32:K32"/>
    <mergeCell ref="S32:AF32"/>
    <mergeCell ref="AL32:AY32"/>
    <mergeCell ref="A1:B3"/>
    <mergeCell ref="A36:B36"/>
  </mergeCells>
  <phoneticPr fontId="10" type="noConversion"/>
  <pageMargins left="0.7" right="0.7" top="0.75" bottom="0.75" header="0.3" footer="0.3"/>
  <pageSetup orientation="portrait" horizontalDpi="1200" verticalDpi="120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NPV w Mo'ly data chart</vt:lpstr>
      <vt:lpstr>JACKcost</vt:lpstr>
      <vt:lpstr>MALOcost</vt:lpstr>
      <vt:lpstr>OPEX</vt:lpstr>
      <vt:lpstr>RATE</vt:lpstr>
      <vt:lpstr>RecompCOST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pbp9152a.pdf</dc:title>
  <dc:creator>Oracle Reports</dc:creator>
  <cp:lastModifiedBy>Samdan Shaik</cp:lastModifiedBy>
  <dcterms:created xsi:type="dcterms:W3CDTF">2019-11-14T21:10:40Z</dcterms:created>
  <dcterms:modified xsi:type="dcterms:W3CDTF">2025-07-24T04:45:48Z</dcterms:modified>
</cp:coreProperties>
</file>