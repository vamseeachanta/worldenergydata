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ll\AppData\Local\Microsoft\Windows\INetCache\Content.Outlook\KTQIQ7F2\"/>
    </mc:Choice>
  </mc:AlternateContent>
  <xr:revisionPtr revIDLastSave="0" documentId="13_ncr:1_{3818A33B-851F-46EE-8085-BF73A37FE59D}" xr6:coauthVersionLast="47" xr6:coauthVersionMax="47" xr10:uidLastSave="{00000000-0000-0000-0000-000000000000}"/>
  <bookViews>
    <workbookView xWindow="732" yWindow="12" windowWidth="21276" windowHeight="12408" xr2:uid="{87DE2952-9E8E-47D4-B784-3148EE658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G7" i="1"/>
  <c r="M5" i="1"/>
  <c r="M4" i="1"/>
  <c r="I5" i="1"/>
  <c r="K5" i="1" s="1"/>
  <c r="I4" i="1"/>
  <c r="K4" i="1" s="1"/>
  <c r="M3" i="1"/>
  <c r="I3" i="1"/>
  <c r="K3" i="1" s="1"/>
  <c r="M2" i="1"/>
  <c r="I2" i="1"/>
  <c r="K2" i="1" l="1"/>
</calcChain>
</file>

<file path=xl/sharedStrings.xml><?xml version="1.0" encoding="utf-8"?>
<sst xmlns="http://schemas.openxmlformats.org/spreadsheetml/2006/main" count="20" uniqueCount="17">
  <si>
    <t>API Number</t>
  </si>
  <si>
    <t>Well Name</t>
  </si>
  <si>
    <t>Spud Date</t>
  </si>
  <si>
    <t>Total Depth Date</t>
  </si>
  <si>
    <t>TVD (ft)</t>
  </si>
  <si>
    <t>Rig Name</t>
  </si>
  <si>
    <t>Total Footage MD</t>
  </si>
  <si>
    <t>Drilling Days</t>
  </si>
  <si>
    <t>Complete Days</t>
  </si>
  <si>
    <t>Total Days</t>
  </si>
  <si>
    <t>Max Mud Weight (ppg)</t>
  </si>
  <si>
    <t>Bottom Hole Pressure (psi)</t>
  </si>
  <si>
    <t>608124003301</t>
  </si>
  <si>
    <t>MAERSK VIKING</t>
  </si>
  <si>
    <t>608124009400</t>
  </si>
  <si>
    <t>608124010800</t>
  </si>
  <si>
    <t>VALARIS DS-18 (ROWAN RELENTLESS)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</si>
</sst>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top" wrapText="1"/>
    </xf>
    <xf numFmtId="1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5EC7-0D11-4FBA-8073-D68BB54DCC2C}">
  <dimension ref="A1:M7"/>
  <sheetViews>
    <sheetView tabSelected="1" workbookViewId="0">
      <selection activeCell="I2" sqref="I2"/>
    </sheetView>
  </sheetViews>
  <sheetFormatPr defaultRowHeight="14.4" x14ac:dyDescent="0.3"/>
  <cols>
    <col min="1" max="1" width="13.6640625" customWidth="1"/>
    <col min="3" max="3" width="11" customWidth="1"/>
    <col min="4" max="4" width="11.109375" customWidth="1"/>
    <col min="6" max="6" width="33.44140625" customWidth="1"/>
    <col min="8" max="8" width="0" hidden="1" customWidth="1"/>
    <col min="10" max="10" width="11.109375" customWidth="1"/>
    <col min="13" max="13" width="10.5546875" bestFit="1" customWidth="1"/>
  </cols>
  <sheetData>
    <row r="1" spans="1:1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12</v>
      </c>
      <c r="B2" s="2"/>
      <c r="C2" s="3">
        <v>42024</v>
      </c>
      <c r="D2" s="3">
        <v>42061</v>
      </c>
      <c r="E2" s="4">
        <v>30453</v>
      </c>
      <c r="F2" s="5" t="s">
        <v>13</v>
      </c>
      <c r="G2" s="6">
        <v>30483</v>
      </c>
      <c r="H2" s="4">
        <v>37</v>
      </c>
      <c r="I2" s="4">
        <f>H2+96</f>
        <v>133</v>
      </c>
      <c r="J2" s="4">
        <v>169</v>
      </c>
      <c r="K2" s="4">
        <f>I2+J2</f>
        <v>302</v>
      </c>
      <c r="L2" s="7">
        <v>14.1</v>
      </c>
      <c r="M2" s="8">
        <f>0.052*L2*G2</f>
        <v>22350.135599999998</v>
      </c>
    </row>
    <row r="3" spans="1:13" x14ac:dyDescent="0.3">
      <c r="A3" s="2" t="s">
        <v>14</v>
      </c>
      <c r="B3" s="2"/>
      <c r="C3" s="3">
        <v>41830</v>
      </c>
      <c r="D3" s="3">
        <v>41946</v>
      </c>
      <c r="E3" s="4">
        <v>30685</v>
      </c>
      <c r="F3" s="5" t="s">
        <v>13</v>
      </c>
      <c r="G3" s="6">
        <v>30944</v>
      </c>
      <c r="H3" s="4">
        <v>116</v>
      </c>
      <c r="I3" s="4">
        <f t="shared" ref="I3:I4" si="0">IF(OR(H3="",H3=0),DATEDIF(C3,D3,"D"),H3)</f>
        <v>116</v>
      </c>
      <c r="J3" s="4">
        <v>126</v>
      </c>
      <c r="K3" s="4">
        <f>I3+J3</f>
        <v>242</v>
      </c>
      <c r="L3" s="7">
        <v>14.6</v>
      </c>
      <c r="M3" s="8">
        <f>0.052*G3*L3</f>
        <v>23492.684799999999</v>
      </c>
    </row>
    <row r="4" spans="1:13" x14ac:dyDescent="0.3">
      <c r="A4" s="2" t="s">
        <v>15</v>
      </c>
      <c r="B4" s="2"/>
      <c r="C4" s="3">
        <v>42413</v>
      </c>
      <c r="D4" s="3">
        <v>42551</v>
      </c>
      <c r="E4" s="4">
        <v>30310</v>
      </c>
      <c r="F4" s="5" t="s">
        <v>13</v>
      </c>
      <c r="G4" s="6">
        <v>31315</v>
      </c>
      <c r="H4" s="4">
        <v>138</v>
      </c>
      <c r="I4" s="4">
        <f t="shared" si="0"/>
        <v>138</v>
      </c>
      <c r="J4" s="4">
        <v>126</v>
      </c>
      <c r="K4" s="4">
        <f>I4+J4</f>
        <v>264</v>
      </c>
      <c r="L4" s="7">
        <v>14.3</v>
      </c>
      <c r="M4" s="8">
        <f t="shared" ref="M4:M5" si="1">0.052*G4*L4</f>
        <v>23285.833999999999</v>
      </c>
    </row>
    <row r="5" spans="1:13" x14ac:dyDescent="0.3">
      <c r="A5" s="2">
        <v>608124012701</v>
      </c>
      <c r="B5" s="2"/>
      <c r="C5" s="3">
        <v>43767</v>
      </c>
      <c r="D5" s="3">
        <v>43786</v>
      </c>
      <c r="E5" s="4">
        <v>29185</v>
      </c>
      <c r="F5" s="5" t="s">
        <v>16</v>
      </c>
      <c r="G5" s="6">
        <v>31910</v>
      </c>
      <c r="H5" s="4">
        <v>19</v>
      </c>
      <c r="I5" s="4">
        <f>H5+I2</f>
        <v>152</v>
      </c>
      <c r="J5" s="4">
        <v>89</v>
      </c>
      <c r="K5" s="4">
        <f>I5+J5</f>
        <v>241</v>
      </c>
      <c r="L5" s="7">
        <v>14.3</v>
      </c>
      <c r="M5" s="8">
        <f t="shared" si="1"/>
        <v>23728.276000000002</v>
      </c>
    </row>
    <row r="6" spans="1:13" x14ac:dyDescent="0.3">
      <c r="A6" s="9">
        <v>6081240033</v>
      </c>
    </row>
    <row r="7" spans="1:13" x14ac:dyDescent="0.3">
      <c r="G7" s="10">
        <f>AVERAGE(G2:G6)</f>
        <v>31163</v>
      </c>
      <c r="I7" s="10">
        <f>AVERAGE(I2:I6)</f>
        <v>134.75</v>
      </c>
      <c r="J7" s="10">
        <f>AVERAGE(J2:J6)</f>
        <v>127.5</v>
      </c>
      <c r="K7" s="10">
        <f>AVERAGE(K2:K6)</f>
        <v>262.25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Shilling</dc:creator>
  <cp:lastModifiedBy>Roy Shilling</cp:lastModifiedBy>
  <dcterms:created xsi:type="dcterms:W3CDTF">2025-05-12T22:59:49Z</dcterms:created>
  <dcterms:modified xsi:type="dcterms:W3CDTF">2025-05-13T02:38:35Z</dcterms:modified>
</cp:coreProperties>
</file>