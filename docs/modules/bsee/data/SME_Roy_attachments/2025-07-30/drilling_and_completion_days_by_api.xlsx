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July/eWellWARRawData/eWellWARRawData/"/>
    </mc:Choice>
  </mc:AlternateContent>
  <xr:revisionPtr revIDLastSave="75" documentId="11_011560E1214B8F081B2C4C2D95AA15E5797950E6" xr6:coauthVersionLast="47" xr6:coauthVersionMax="47" xr10:uidLastSave="{98B67223-77C4-4451-B3A9-9BFFE92A86E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0" i="1" l="1"/>
  <c r="O150" i="1" s="1"/>
  <c r="M149" i="1"/>
  <c r="N149" i="1" s="1"/>
  <c r="M13" i="1"/>
  <c r="O13" i="1" s="1"/>
  <c r="M12" i="1"/>
  <c r="N12" i="1" s="1"/>
  <c r="M11" i="1"/>
  <c r="O11" i="1" s="1"/>
  <c r="M10" i="1"/>
  <c r="O10" i="1" s="1"/>
  <c r="M9" i="1"/>
  <c r="O9" i="1" s="1"/>
  <c r="M8" i="1"/>
  <c r="N8" i="1" s="1"/>
  <c r="O7" i="1"/>
  <c r="N7" i="1"/>
  <c r="M7" i="1"/>
  <c r="M6" i="1"/>
  <c r="O6" i="1" s="1"/>
  <c r="M5" i="1"/>
  <c r="O5" i="1" s="1"/>
  <c r="O4" i="1"/>
  <c r="M4" i="1"/>
  <c r="N4" i="1" s="1"/>
  <c r="O3" i="1"/>
  <c r="M3" i="1"/>
  <c r="N3" i="1" s="1"/>
  <c r="M2" i="1"/>
  <c r="O2" i="1" s="1"/>
  <c r="N30" i="1"/>
  <c r="M30" i="1"/>
  <c r="O30" i="1" s="1"/>
  <c r="M29" i="1"/>
  <c r="N29" i="1" s="1"/>
  <c r="M28" i="1"/>
  <c r="O28" i="1" s="1"/>
  <c r="M27" i="1"/>
  <c r="N27" i="1" s="1"/>
  <c r="M26" i="1"/>
  <c r="O26" i="1" s="1"/>
  <c r="M25" i="1"/>
  <c r="N25" i="1" s="1"/>
  <c r="N24" i="1"/>
  <c r="M24" i="1"/>
  <c r="O24" i="1" s="1"/>
  <c r="O23" i="1"/>
  <c r="M23" i="1"/>
  <c r="N23" i="1" s="1"/>
  <c r="N22" i="1"/>
  <c r="M22" i="1"/>
  <c r="O22" i="1" s="1"/>
  <c r="M21" i="1"/>
  <c r="N21" i="1" s="1"/>
  <c r="M20" i="1"/>
  <c r="O20" i="1" s="1"/>
  <c r="M19" i="1"/>
  <c r="N19" i="1" s="1"/>
  <c r="M18" i="1"/>
  <c r="O18" i="1" s="1"/>
  <c r="M17" i="1"/>
  <c r="N17" i="1" s="1"/>
  <c r="M41" i="1"/>
  <c r="O41" i="1" s="1"/>
  <c r="M40" i="1"/>
  <c r="N40" i="1" s="1"/>
  <c r="M39" i="1"/>
  <c r="O39" i="1" s="1"/>
  <c r="M38" i="1"/>
  <c r="O38" i="1" s="1"/>
  <c r="M37" i="1"/>
  <c r="O37" i="1" s="1"/>
  <c r="M36" i="1"/>
  <c r="N36" i="1" s="1"/>
  <c r="M35" i="1"/>
  <c r="O35" i="1" s="1"/>
  <c r="M34" i="1"/>
  <c r="O34" i="1" s="1"/>
  <c r="M53" i="1"/>
  <c r="O53" i="1" s="1"/>
  <c r="M52" i="1"/>
  <c r="N52" i="1" s="1"/>
  <c r="O51" i="1"/>
  <c r="N51" i="1"/>
  <c r="M51" i="1"/>
  <c r="M50" i="1"/>
  <c r="O50" i="1" s="1"/>
  <c r="M49" i="1"/>
  <c r="O49" i="1" s="1"/>
  <c r="O48" i="1"/>
  <c r="M48" i="1"/>
  <c r="N48" i="1" s="1"/>
  <c r="M47" i="1"/>
  <c r="O47" i="1" s="1"/>
  <c r="M46" i="1"/>
  <c r="O46" i="1" s="1"/>
  <c r="M45" i="1"/>
  <c r="O45" i="1" s="1"/>
  <c r="M63" i="1"/>
  <c r="O63" i="1" s="1"/>
  <c r="O62" i="1"/>
  <c r="M62" i="1"/>
  <c r="N62" i="1" s="1"/>
  <c r="M61" i="1"/>
  <c r="O61" i="1" s="1"/>
  <c r="M60" i="1"/>
  <c r="O60" i="1" s="1"/>
  <c r="M59" i="1"/>
  <c r="O59" i="1" s="1"/>
  <c r="M58" i="1"/>
  <c r="N58" i="1" s="1"/>
  <c r="N57" i="1"/>
  <c r="M57" i="1"/>
  <c r="O57" i="1" s="1"/>
  <c r="M78" i="1"/>
  <c r="O78" i="1" s="1"/>
  <c r="M77" i="1"/>
  <c r="N77" i="1" s="1"/>
  <c r="O76" i="1"/>
  <c r="N76" i="1"/>
  <c r="M76" i="1"/>
  <c r="M75" i="1"/>
  <c r="O75" i="1" s="1"/>
  <c r="M74" i="1"/>
  <c r="O74" i="1" s="1"/>
  <c r="O73" i="1"/>
  <c r="M73" i="1"/>
  <c r="N73" i="1" s="1"/>
  <c r="M72" i="1"/>
  <c r="O72" i="1" s="1"/>
  <c r="M71" i="1"/>
  <c r="O71" i="1" s="1"/>
  <c r="M70" i="1"/>
  <c r="O70" i="1" s="1"/>
  <c r="M69" i="1"/>
  <c r="N69" i="1" s="1"/>
  <c r="N68" i="1"/>
  <c r="M68" i="1"/>
  <c r="O68" i="1" s="1"/>
  <c r="M67" i="1"/>
  <c r="O67" i="1" s="1"/>
  <c r="M98" i="1"/>
  <c r="O98" i="1" s="1"/>
  <c r="O97" i="1"/>
  <c r="M97" i="1"/>
  <c r="N97" i="1" s="1"/>
  <c r="O96" i="1"/>
  <c r="M96" i="1"/>
  <c r="N96" i="1" s="1"/>
  <c r="M95" i="1"/>
  <c r="O95" i="1" s="1"/>
  <c r="M94" i="1"/>
  <c r="O94" i="1" s="1"/>
  <c r="M93" i="1"/>
  <c r="N93" i="1" s="1"/>
  <c r="O92" i="1"/>
  <c r="N92" i="1"/>
  <c r="M92" i="1"/>
  <c r="M91" i="1"/>
  <c r="O91" i="1" s="1"/>
  <c r="M90" i="1"/>
  <c r="O90" i="1" s="1"/>
  <c r="O89" i="1"/>
  <c r="M89" i="1"/>
  <c r="N89" i="1" s="1"/>
  <c r="M88" i="1"/>
  <c r="O88" i="1" s="1"/>
  <c r="M87" i="1"/>
  <c r="O87" i="1" s="1"/>
  <c r="M86" i="1"/>
  <c r="O86" i="1" s="1"/>
  <c r="M85" i="1"/>
  <c r="N85" i="1" s="1"/>
  <c r="N84" i="1"/>
  <c r="M84" i="1"/>
  <c r="O84" i="1" s="1"/>
  <c r="M83" i="1"/>
  <c r="O83" i="1" s="1"/>
  <c r="M82" i="1"/>
  <c r="O82" i="1" s="1"/>
  <c r="M120" i="1"/>
  <c r="O120" i="1" s="1"/>
  <c r="M119" i="1"/>
  <c r="N119" i="1" s="1"/>
  <c r="N118" i="1"/>
  <c r="M118" i="1"/>
  <c r="O118" i="1" s="1"/>
  <c r="M117" i="1"/>
  <c r="O117" i="1" s="1"/>
  <c r="M116" i="1"/>
  <c r="O116" i="1" s="1"/>
  <c r="O115" i="1"/>
  <c r="M115" i="1"/>
  <c r="N115" i="1" s="1"/>
  <c r="O114" i="1"/>
  <c r="M114" i="1"/>
  <c r="N114" i="1" s="1"/>
  <c r="M113" i="1"/>
  <c r="N113" i="1" s="1"/>
  <c r="M112" i="1"/>
  <c r="O112" i="1" s="1"/>
  <c r="M111" i="1"/>
  <c r="N111" i="1" s="1"/>
  <c r="O110" i="1"/>
  <c r="N110" i="1"/>
  <c r="M110" i="1"/>
  <c r="M109" i="1"/>
  <c r="O109" i="1" s="1"/>
  <c r="M108" i="1"/>
  <c r="O108" i="1" s="1"/>
  <c r="O107" i="1"/>
  <c r="M107" i="1"/>
  <c r="N107" i="1" s="1"/>
  <c r="M106" i="1"/>
  <c r="O106" i="1" s="1"/>
  <c r="M105" i="1"/>
  <c r="N105" i="1" s="1"/>
  <c r="M104" i="1"/>
  <c r="O104" i="1" s="1"/>
  <c r="M103" i="1"/>
  <c r="N103" i="1" s="1"/>
  <c r="N102" i="1"/>
  <c r="M102" i="1"/>
  <c r="O102" i="1" s="1"/>
  <c r="O145" i="1"/>
  <c r="M145" i="1"/>
  <c r="N145" i="1" s="1"/>
  <c r="O144" i="1"/>
  <c r="N144" i="1"/>
  <c r="M144" i="1"/>
  <c r="O143" i="1"/>
  <c r="M143" i="1"/>
  <c r="N143" i="1" s="1"/>
  <c r="M142" i="1"/>
  <c r="O142" i="1" s="1"/>
  <c r="M141" i="1"/>
  <c r="N141" i="1" s="1"/>
  <c r="O140" i="1"/>
  <c r="N140" i="1"/>
  <c r="M140" i="1"/>
  <c r="M139" i="1"/>
  <c r="O139" i="1" s="1"/>
  <c r="M138" i="1"/>
  <c r="O138" i="1" s="1"/>
  <c r="O137" i="1"/>
  <c r="M137" i="1"/>
  <c r="N137" i="1" s="1"/>
  <c r="M136" i="1"/>
  <c r="O136" i="1" s="1"/>
  <c r="M135" i="1"/>
  <c r="O135" i="1" s="1"/>
  <c r="M134" i="1"/>
  <c r="O134" i="1" s="1"/>
  <c r="M133" i="1"/>
  <c r="N133" i="1" s="1"/>
  <c r="N132" i="1"/>
  <c r="M132" i="1"/>
  <c r="O132" i="1" s="1"/>
  <c r="M131" i="1"/>
  <c r="O131" i="1" s="1"/>
  <c r="M130" i="1"/>
  <c r="O130" i="1" s="1"/>
  <c r="O129" i="1"/>
  <c r="M129" i="1"/>
  <c r="N129" i="1" s="1"/>
  <c r="O128" i="1"/>
  <c r="M128" i="1"/>
  <c r="N128" i="1" s="1"/>
  <c r="M127" i="1"/>
  <c r="O127" i="1" s="1"/>
  <c r="M126" i="1"/>
  <c r="O126" i="1" s="1"/>
  <c r="M125" i="1"/>
  <c r="N125" i="1" s="1"/>
  <c r="O124" i="1"/>
  <c r="N124" i="1"/>
  <c r="M124" i="1"/>
  <c r="I147" i="1"/>
  <c r="H147" i="1"/>
  <c r="I122" i="1"/>
  <c r="H122" i="1"/>
  <c r="I100" i="1"/>
  <c r="H100" i="1"/>
  <c r="I80" i="1"/>
  <c r="H80" i="1"/>
  <c r="I65" i="1"/>
  <c r="H65" i="1"/>
  <c r="I55" i="1"/>
  <c r="H55" i="1"/>
  <c r="I43" i="1"/>
  <c r="H43" i="1"/>
  <c r="I32" i="1"/>
  <c r="H32" i="1"/>
  <c r="I15" i="1"/>
  <c r="H15" i="1"/>
  <c r="O133" i="1" l="1"/>
  <c r="N136" i="1"/>
  <c r="O103" i="1"/>
  <c r="N106" i="1"/>
  <c r="O119" i="1"/>
  <c r="O85" i="1"/>
  <c r="N88" i="1"/>
  <c r="O69" i="1"/>
  <c r="N72" i="1"/>
  <c r="O58" i="1"/>
  <c r="N61" i="1"/>
  <c r="N47" i="1"/>
  <c r="O36" i="1"/>
  <c r="N39" i="1"/>
  <c r="O19" i="1"/>
  <c r="N26" i="1"/>
  <c r="N28" i="1"/>
  <c r="O8" i="1"/>
  <c r="N11" i="1"/>
  <c r="O125" i="1"/>
  <c r="O141" i="1"/>
  <c r="O111" i="1"/>
  <c r="O93" i="1"/>
  <c r="O77" i="1"/>
  <c r="O52" i="1"/>
  <c r="N35" i="1"/>
  <c r="O40" i="1"/>
  <c r="N18" i="1"/>
  <c r="N20" i="1"/>
  <c r="O27" i="1"/>
  <c r="O149" i="1"/>
  <c r="O12" i="1"/>
  <c r="N150" i="1"/>
  <c r="N2" i="1"/>
  <c r="N6" i="1"/>
  <c r="N10" i="1"/>
  <c r="N5" i="1"/>
  <c r="N9" i="1"/>
  <c r="N13" i="1"/>
  <c r="O17" i="1"/>
  <c r="O21" i="1"/>
  <c r="O25" i="1"/>
  <c r="O29" i="1"/>
  <c r="N34" i="1"/>
  <c r="N38" i="1"/>
  <c r="N37" i="1"/>
  <c r="N41" i="1"/>
  <c r="N46" i="1"/>
  <c r="N50" i="1"/>
  <c r="N45" i="1"/>
  <c r="N49" i="1"/>
  <c r="N53" i="1"/>
  <c r="N60" i="1"/>
  <c r="N59" i="1"/>
  <c r="N63" i="1"/>
  <c r="N67" i="1"/>
  <c r="N71" i="1"/>
  <c r="N75" i="1"/>
  <c r="N70" i="1"/>
  <c r="N74" i="1"/>
  <c r="N78" i="1"/>
  <c r="N83" i="1"/>
  <c r="N87" i="1"/>
  <c r="N91" i="1"/>
  <c r="N95" i="1"/>
  <c r="N82" i="1"/>
  <c r="N86" i="1"/>
  <c r="N90" i="1"/>
  <c r="N94" i="1"/>
  <c r="N98" i="1"/>
  <c r="N109" i="1"/>
  <c r="N117" i="1"/>
  <c r="N104" i="1"/>
  <c r="O105" i="1"/>
  <c r="N108" i="1"/>
  <c r="N112" i="1"/>
  <c r="O113" i="1"/>
  <c r="N116" i="1"/>
  <c r="N120" i="1"/>
  <c r="N127" i="1"/>
  <c r="N131" i="1"/>
  <c r="N135" i="1"/>
  <c r="N139" i="1"/>
  <c r="N126" i="1"/>
  <c r="N130" i="1"/>
  <c r="N134" i="1"/>
  <c r="N138" i="1"/>
  <c r="N142" i="1"/>
</calcChain>
</file>

<file path=xl/sharedStrings.xml><?xml version="1.0" encoding="utf-8"?>
<sst xmlns="http://schemas.openxmlformats.org/spreadsheetml/2006/main" count="869" uniqueCount="461">
  <si>
    <t>LEASE_NAME</t>
  </si>
  <si>
    <t>SURF_LEASE_NUM</t>
  </si>
  <si>
    <t>WATER_DEPTH</t>
  </si>
  <si>
    <t>API_WELL_NUMBER</t>
  </si>
  <si>
    <t>WELL_NAME</t>
  </si>
  <si>
    <t>WELL_SPUD_DATE</t>
  </si>
  <si>
    <t>TOTAL_DEPTH_DATE</t>
  </si>
  <si>
    <t>DRILLING_DAYS</t>
  </si>
  <si>
    <t>COMPLETION_DAYS</t>
  </si>
  <si>
    <t>MAX_BH_TOTAL_MD</t>
  </si>
  <si>
    <t>MAX_WELL_BORE_TVD</t>
  </si>
  <si>
    <t>MAX_DRILL_FLUID_WGT</t>
  </si>
  <si>
    <t>Anchor</t>
  </si>
  <si>
    <t>Cascade</t>
  </si>
  <si>
    <t>Chinook</t>
  </si>
  <si>
    <t>Jack</t>
  </si>
  <si>
    <t>Julia</t>
  </si>
  <si>
    <t>Kaskida</t>
  </si>
  <si>
    <t>North Platte</t>
  </si>
  <si>
    <t>Shenandoah</t>
  </si>
  <si>
    <t>St Malo</t>
  </si>
  <si>
    <t>Stones</t>
  </si>
  <si>
    <t>Tiber</t>
  </si>
  <si>
    <t>31752</t>
  </si>
  <si>
    <t>31751</t>
  </si>
  <si>
    <t>16965</t>
  </si>
  <si>
    <t>16997</t>
  </si>
  <si>
    <t>21245</t>
  </si>
  <si>
    <t>20351</t>
  </si>
  <si>
    <t>25792</t>
  </si>
  <si>
    <t>30876</t>
  </si>
  <si>
    <t>32460</t>
  </si>
  <si>
    <t>25232</t>
  </si>
  <si>
    <t>31938</t>
  </si>
  <si>
    <t>18753</t>
  </si>
  <si>
    <t>18745</t>
  </si>
  <si>
    <t>17001</t>
  </si>
  <si>
    <t>25782</t>
  </si>
  <si>
    <t>5080</t>
  </si>
  <si>
    <t>8200</t>
  </si>
  <si>
    <t>8900</t>
  </si>
  <si>
    <t>7240</t>
  </si>
  <si>
    <t>7335</t>
  </si>
  <si>
    <t>5860</t>
  </si>
  <si>
    <t>5840</t>
  </si>
  <si>
    <t>4230</t>
  </si>
  <si>
    <t>5800</t>
  </si>
  <si>
    <t>6820</t>
  </si>
  <si>
    <t>9525</t>
  </si>
  <si>
    <t>4130</t>
  </si>
  <si>
    <t>608114062100</t>
  </si>
  <si>
    <t>608114062101</t>
  </si>
  <si>
    <t>608114063500</t>
  </si>
  <si>
    <t>608114063501</t>
  </si>
  <si>
    <t>608114063502</t>
  </si>
  <si>
    <t>608114066100</t>
  </si>
  <si>
    <t>608114066101</t>
  </si>
  <si>
    <t>608114067300</t>
  </si>
  <si>
    <t>608114067301</t>
  </si>
  <si>
    <t>608114072800</t>
  </si>
  <si>
    <t>608114075000</t>
  </si>
  <si>
    <t>608114075100</t>
  </si>
  <si>
    <t>608124000800</t>
  </si>
  <si>
    <t>608124000801</t>
  </si>
  <si>
    <t>608124001600</t>
  </si>
  <si>
    <t>608124001601</t>
  </si>
  <si>
    <t>608124003800</t>
  </si>
  <si>
    <t>608124004700</t>
  </si>
  <si>
    <t>608124004701</t>
  </si>
  <si>
    <t>608124008200</t>
  </si>
  <si>
    <t>608124008300</t>
  </si>
  <si>
    <t>608124001000</t>
  </si>
  <si>
    <t>608124004600</t>
  </si>
  <si>
    <t>608124004601</t>
  </si>
  <si>
    <t>608124004602</t>
  </si>
  <si>
    <t>608124009700</t>
  </si>
  <si>
    <t>608124000400</t>
  </si>
  <si>
    <t>608124000401</t>
  </si>
  <si>
    <t>608124001100</t>
  </si>
  <si>
    <t>608124000402</t>
  </si>
  <si>
    <t>608124003100</t>
  </si>
  <si>
    <t>608124003101</t>
  </si>
  <si>
    <t>608124013300</t>
  </si>
  <si>
    <t>608124013500</t>
  </si>
  <si>
    <t>608124003300</t>
  </si>
  <si>
    <t>608124009400</t>
  </si>
  <si>
    <t>608124003301</t>
  </si>
  <si>
    <t>608124010200</t>
  </si>
  <si>
    <t>608124010800</t>
  </si>
  <si>
    <t>608124011100</t>
  </si>
  <si>
    <t>608124011101</t>
  </si>
  <si>
    <t>608124012700</t>
  </si>
  <si>
    <t>608124012701</t>
  </si>
  <si>
    <t>608084001100</t>
  </si>
  <si>
    <t>608084001101</t>
  </si>
  <si>
    <t>608084001102</t>
  </si>
  <si>
    <t>608084001103</t>
  </si>
  <si>
    <t>608084001104</t>
  </si>
  <si>
    <t>608084002700</t>
  </si>
  <si>
    <t>608084002701</t>
  </si>
  <si>
    <t>608074030500</t>
  </si>
  <si>
    <t>608074030501</t>
  </si>
  <si>
    <t>608074030502</t>
  </si>
  <si>
    <t>608074031400</t>
  </si>
  <si>
    <t>608074031500</t>
  </si>
  <si>
    <t>608074031501</t>
  </si>
  <si>
    <t>608074031502</t>
  </si>
  <si>
    <t>608074032000</t>
  </si>
  <si>
    <t>608074032001</t>
  </si>
  <si>
    <t>608074032002</t>
  </si>
  <si>
    <t>608074032003</t>
  </si>
  <si>
    <t>608074032800</t>
  </si>
  <si>
    <t>608124003400</t>
  </si>
  <si>
    <t>608124003401</t>
  </si>
  <si>
    <t>608124003402</t>
  </si>
  <si>
    <t>608124007500</t>
  </si>
  <si>
    <t>608124007900</t>
  </si>
  <si>
    <t>608124009300</t>
  </si>
  <si>
    <t>608124009301</t>
  </si>
  <si>
    <t>608124010100</t>
  </si>
  <si>
    <t>608124010101</t>
  </si>
  <si>
    <t>608124010102</t>
  </si>
  <si>
    <t>608124010103</t>
  </si>
  <si>
    <t>608124010900</t>
  </si>
  <si>
    <t>608124011300</t>
  </si>
  <si>
    <t>608124011301</t>
  </si>
  <si>
    <t>608124011302</t>
  </si>
  <si>
    <t>608124014100</t>
  </si>
  <si>
    <t>608124014400</t>
  </si>
  <si>
    <t>608124002900</t>
  </si>
  <si>
    <t>608124004400</t>
  </si>
  <si>
    <t>608124005300</t>
  </si>
  <si>
    <t>608124005600</t>
  </si>
  <si>
    <t>608124005700</t>
  </si>
  <si>
    <t>608124005500</t>
  </si>
  <si>
    <t>608124005400</t>
  </si>
  <si>
    <t>608124005800</t>
  </si>
  <si>
    <t>608124010700</t>
  </si>
  <si>
    <t>608124010701</t>
  </si>
  <si>
    <t>608124011400</t>
  </si>
  <si>
    <t>608124011800</t>
  </si>
  <si>
    <t>608124011801</t>
  </si>
  <si>
    <t>608124012200</t>
  </si>
  <si>
    <t>608124013200</t>
  </si>
  <si>
    <t>608124013201</t>
  </si>
  <si>
    <t>608124013202</t>
  </si>
  <si>
    <t>608124013600</t>
  </si>
  <si>
    <t>608124015100</t>
  </si>
  <si>
    <t>608124001500</t>
  </si>
  <si>
    <t>608124002200</t>
  </si>
  <si>
    <t>608124007700</t>
  </si>
  <si>
    <t>608124008700</t>
  </si>
  <si>
    <t>608124009200</t>
  </si>
  <si>
    <t>608124009201</t>
  </si>
  <si>
    <t>608124009500</t>
  </si>
  <si>
    <t>608124009900</t>
  </si>
  <si>
    <t>608124010300</t>
  </si>
  <si>
    <t>608124010400</t>
  </si>
  <si>
    <t>608124010500</t>
  </si>
  <si>
    <t>608124011000</t>
  </si>
  <si>
    <t>608124011001</t>
  </si>
  <si>
    <t>608124011200</t>
  </si>
  <si>
    <t>608124011700</t>
  </si>
  <si>
    <t>608124012300</t>
  </si>
  <si>
    <t>608124012900</t>
  </si>
  <si>
    <t>608124013400</t>
  </si>
  <si>
    <t>608124013700</t>
  </si>
  <si>
    <t>608124013701</t>
  </si>
  <si>
    <t>608124014300</t>
  </si>
  <si>
    <t>608124014301</t>
  </si>
  <si>
    <t>608084001500</t>
  </si>
  <si>
    <t>608084005500</t>
  </si>
  <si>
    <t>001</t>
  </si>
  <si>
    <t>002</t>
  </si>
  <si>
    <t>003</t>
  </si>
  <si>
    <t>SB001</t>
  </si>
  <si>
    <t>AP001</t>
  </si>
  <si>
    <t>AP002</t>
  </si>
  <si>
    <t>CA003</t>
  </si>
  <si>
    <t>004</t>
  </si>
  <si>
    <t>CA004</t>
  </si>
  <si>
    <t>005</t>
  </si>
  <si>
    <t>CA006</t>
  </si>
  <si>
    <t>CH002</t>
  </si>
  <si>
    <t>CH004</t>
  </si>
  <si>
    <t>IS003</t>
  </si>
  <si>
    <t>IS001</t>
  </si>
  <si>
    <t>JU102</t>
  </si>
  <si>
    <t>DC101</t>
  </si>
  <si>
    <t>JU103</t>
  </si>
  <si>
    <t>JU104</t>
  </si>
  <si>
    <t>JU105</t>
  </si>
  <si>
    <t>JU106</t>
  </si>
  <si>
    <t>SA005</t>
  </si>
  <si>
    <t>SA006</t>
  </si>
  <si>
    <t>SA008</t>
  </si>
  <si>
    <t>SA009</t>
  </si>
  <si>
    <t>PN001</t>
  </si>
  <si>
    <t>PS003</t>
  </si>
  <si>
    <t>PS001</t>
  </si>
  <si>
    <t>PN003</t>
  </si>
  <si>
    <t>PN002</t>
  </si>
  <si>
    <t>PS004</t>
  </si>
  <si>
    <t>PN007</t>
  </si>
  <si>
    <t>PS002</t>
  </si>
  <si>
    <t>PS005</t>
  </si>
  <si>
    <t>PS007</t>
  </si>
  <si>
    <t>PN005</t>
  </si>
  <si>
    <t>PS006</t>
  </si>
  <si>
    <t>PS008</t>
  </si>
  <si>
    <t>SN105</t>
  </si>
  <si>
    <t>SN109</t>
  </si>
  <si>
    <t>009</t>
  </si>
  <si>
    <t>SN208</t>
  </si>
  <si>
    <t>008</t>
  </si>
  <si>
    <t>011</t>
  </si>
  <si>
    <t>SN110</t>
  </si>
  <si>
    <t>SN206</t>
  </si>
  <si>
    <t>SN207</t>
  </si>
  <si>
    <t>SN213</t>
  </si>
  <si>
    <t>SN115</t>
  </si>
  <si>
    <t>SN216</t>
  </si>
  <si>
    <t>SN114</t>
  </si>
  <si>
    <t>SN219</t>
  </si>
  <si>
    <t>03/14/2014</t>
  </si>
  <si>
    <t>05/25/2014</t>
  </si>
  <si>
    <t>08/10/2014</t>
  </si>
  <si>
    <t>07/05/2015</t>
  </si>
  <si>
    <t>08/09/2015</t>
  </si>
  <si>
    <t>01/24/2016</t>
  </si>
  <si>
    <t>02/21/2016</t>
  </si>
  <si>
    <t>09/14/2016</t>
  </si>
  <si>
    <t>12/04/2016</t>
  </si>
  <si>
    <t>11/18/2019</t>
  </si>
  <si>
    <t>11/29/2021</t>
  </si>
  <si>
    <t>11/10/2022</t>
  </si>
  <si>
    <t>01/19/2002</t>
  </si>
  <si>
    <t>04/23/2002</t>
  </si>
  <si>
    <t>03/16/2005</t>
  </si>
  <si>
    <t>10/09/2005</t>
  </si>
  <si>
    <t>11/05/2008</t>
  </si>
  <si>
    <t>09/18/2011</t>
  </si>
  <si>
    <t>04/08/2012</t>
  </si>
  <si>
    <t>12/16/2012</t>
  </si>
  <si>
    <t>12/30/2012</t>
  </si>
  <si>
    <t>01/13/2003</t>
  </si>
  <si>
    <t>11/23/2009</t>
  </si>
  <si>
    <t>01/03/2010</t>
  </si>
  <si>
    <t>02/07/2010</t>
  </si>
  <si>
    <t>12/07/2014</t>
  </si>
  <si>
    <t>09/15/2000</t>
  </si>
  <si>
    <t>12/28/2000</t>
  </si>
  <si>
    <t>07/03/2003</t>
  </si>
  <si>
    <t>05/16/2004</t>
  </si>
  <si>
    <t>12/17/2007</t>
  </si>
  <si>
    <t>08/17/2008</t>
  </si>
  <si>
    <t>08/12/2020</t>
  </si>
  <si>
    <t>12/22/2020</t>
  </si>
  <si>
    <t>02/15/2008</t>
  </si>
  <si>
    <t>07/09/2014</t>
  </si>
  <si>
    <t>01/18/2015</t>
  </si>
  <si>
    <t>10/21/2015</t>
  </si>
  <si>
    <t>02/12/2016</t>
  </si>
  <si>
    <t>09/01/2016</t>
  </si>
  <si>
    <t>01/22/2017</t>
  </si>
  <si>
    <t>05/09/2019</t>
  </si>
  <si>
    <t>10/27/2019</t>
  </si>
  <si>
    <t>01/23/2006</t>
  </si>
  <si>
    <t>02/19/2006</t>
  </si>
  <si>
    <t>04/09/2006</t>
  </si>
  <si>
    <t>12/10/2006</t>
  </si>
  <si>
    <t>04/13/2008</t>
  </si>
  <si>
    <t>10/26/2011</t>
  </si>
  <si>
    <t>02/24/2013</t>
  </si>
  <si>
    <t>06/24/2012</t>
  </si>
  <si>
    <t>09/16/2012</t>
  </si>
  <si>
    <t>02/01/2015</t>
  </si>
  <si>
    <t>04/22/2015</t>
  </si>
  <si>
    <t>11/08/2015</t>
  </si>
  <si>
    <t>12/20/2015</t>
  </si>
  <si>
    <t>08/25/2016</t>
  </si>
  <si>
    <t>01/08/2017</t>
  </si>
  <si>
    <t>03/26/2017</t>
  </si>
  <si>
    <t>04/30/2017</t>
  </si>
  <si>
    <t>01/30/2023</t>
  </si>
  <si>
    <t>06/02/2008</t>
  </si>
  <si>
    <t>06/29/2008</t>
  </si>
  <si>
    <t>11/09/2008</t>
  </si>
  <si>
    <t>06/29/2012</t>
  </si>
  <si>
    <t>05/25/2015</t>
  </si>
  <si>
    <t>09/06/2015</t>
  </si>
  <si>
    <t>10/25/2015</t>
  </si>
  <si>
    <t>03/09/2016</t>
  </si>
  <si>
    <t>12/14/2016</t>
  </si>
  <si>
    <t>02/19/2017</t>
  </si>
  <si>
    <t>03/05/2017</t>
  </si>
  <si>
    <t>11/19/2022</t>
  </si>
  <si>
    <t>11/26/2022</t>
  </si>
  <si>
    <t>08/15/2007</t>
  </si>
  <si>
    <t>07/19/2009</t>
  </si>
  <si>
    <t>11/20/2011</t>
  </si>
  <si>
    <t>11/24/2011</t>
  </si>
  <si>
    <t>02/03/2013</t>
  </si>
  <si>
    <t>01/04/2015</t>
  </si>
  <si>
    <t>05/03/2015</t>
  </si>
  <si>
    <t>10/26/2015</t>
  </si>
  <si>
    <t>11/22/2015</t>
  </si>
  <si>
    <t>12/16/2016</t>
  </si>
  <si>
    <t>05/14/2017</t>
  </si>
  <si>
    <t>06/11/2017</t>
  </si>
  <si>
    <t>01/03/2018</t>
  </si>
  <si>
    <t>05/17/2020</t>
  </si>
  <si>
    <t>06/14/2020</t>
  </si>
  <si>
    <t>07/05/2020</t>
  </si>
  <si>
    <t>04/05/2021</t>
  </si>
  <si>
    <t>10/10/2023</t>
  </si>
  <si>
    <t>12/31/2004</t>
  </si>
  <si>
    <t>07/30/2006</t>
  </si>
  <si>
    <t>06/14/2012</t>
  </si>
  <si>
    <t>11/01/2013</t>
  </si>
  <si>
    <t>02/13/2014</t>
  </si>
  <si>
    <t>03/30/2014</t>
  </si>
  <si>
    <t>07/23/2014</t>
  </si>
  <si>
    <t>03/15/2015</t>
  </si>
  <si>
    <t>07/27/2015</t>
  </si>
  <si>
    <t>08/05/2015</t>
  </si>
  <si>
    <t>08/11/2015</t>
  </si>
  <si>
    <t>05/10/2016</t>
  </si>
  <si>
    <t>08/14/2016</t>
  </si>
  <si>
    <t>12/05/2016</t>
  </si>
  <si>
    <t>04/02/2017</t>
  </si>
  <si>
    <t>04/05/2018</t>
  </si>
  <si>
    <t>10/18/2019</t>
  </si>
  <si>
    <t>12/05/2020</t>
  </si>
  <si>
    <t>08/15/2021</t>
  </si>
  <si>
    <t>01/30/2022</t>
  </si>
  <si>
    <t>12/11/2022</t>
  </si>
  <si>
    <t>02/12/2023</t>
  </si>
  <si>
    <t>03/11/2009</t>
  </si>
  <si>
    <t>01/21/2016</t>
  </si>
  <si>
    <t>05/17/2014</t>
  </si>
  <si>
    <t>06/14/2014</t>
  </si>
  <si>
    <t>11/28/2014</t>
  </si>
  <si>
    <t>07/28/2015</t>
  </si>
  <si>
    <t>09/11/2015</t>
  </si>
  <si>
    <t>02/11/2016</t>
  </si>
  <si>
    <t>06/18/2016</t>
  </si>
  <si>
    <t>11/07/2016</t>
  </si>
  <si>
    <t>01/24/2017</t>
  </si>
  <si>
    <t>11/26/2019</t>
  </si>
  <si>
    <t>03/14/2022</t>
  </si>
  <si>
    <t>02/06/2023</t>
  </si>
  <si>
    <t>04/14/2002</t>
  </si>
  <si>
    <t>05/16/2002</t>
  </si>
  <si>
    <t>05/29/2005</t>
  </si>
  <si>
    <t>11/24/2005</t>
  </si>
  <si>
    <t>06/03/2009</t>
  </si>
  <si>
    <t>03/28/2012</t>
  </si>
  <si>
    <t>06/17/2012</t>
  </si>
  <si>
    <t>12/21/2012</t>
  </si>
  <si>
    <t>08/11/2013</t>
  </si>
  <si>
    <t>06/19/2003</t>
  </si>
  <si>
    <t>12/22/2009</t>
  </si>
  <si>
    <t>02/05/2010</t>
  </si>
  <si>
    <t>02/24/2010</t>
  </si>
  <si>
    <t>03/11/2015</t>
  </si>
  <si>
    <t>11/20/2000</t>
  </si>
  <si>
    <t>01/06/2001</t>
  </si>
  <si>
    <t>10/13/2003</t>
  </si>
  <si>
    <t>06/09/2004</t>
  </si>
  <si>
    <t>08/03/2008</t>
  </si>
  <si>
    <t>10/18/2008</t>
  </si>
  <si>
    <t>11/29/2020</t>
  </si>
  <si>
    <t>02/09/2021</t>
  </si>
  <si>
    <t>05/23/2008</t>
  </si>
  <si>
    <t>11/03/2014</t>
  </si>
  <si>
    <t>02/26/2015</t>
  </si>
  <si>
    <t>01/12/2016</t>
  </si>
  <si>
    <t>06/30/2016</t>
  </si>
  <si>
    <t>10/25/2016</t>
  </si>
  <si>
    <t>05/26/2017</t>
  </si>
  <si>
    <t>09/26/2019</t>
  </si>
  <si>
    <t>11/17/2019</t>
  </si>
  <si>
    <t>02/18/2006</t>
  </si>
  <si>
    <t>03/31/2006</t>
  </si>
  <si>
    <t>05/22/2006</t>
  </si>
  <si>
    <t>12/24/2006</t>
  </si>
  <si>
    <t>12/31/2012</t>
  </si>
  <si>
    <t>03/31/2013</t>
  </si>
  <si>
    <t>08/17/2012</t>
  </si>
  <si>
    <t>11/26/2012</t>
  </si>
  <si>
    <t>01/13/2013</t>
  </si>
  <si>
    <t>03/22/2015</t>
  </si>
  <si>
    <t>10/20/2015</t>
  </si>
  <si>
    <t>12/10/2015</t>
  </si>
  <si>
    <t>02/09/2016</t>
  </si>
  <si>
    <t>12/17/2016</t>
  </si>
  <si>
    <t>04/15/2017</t>
  </si>
  <si>
    <t>06/02/2017</t>
  </si>
  <si>
    <t>03/29/2023</t>
  </si>
  <si>
    <t>06/23/2008</t>
  </si>
  <si>
    <t>10/20/2008</t>
  </si>
  <si>
    <t>01/22/2009</t>
  </si>
  <si>
    <t>09/06/2012</t>
  </si>
  <si>
    <t>01/29/2013</t>
  </si>
  <si>
    <t>11/08/2014</t>
  </si>
  <si>
    <t>12/19/2014</t>
  </si>
  <si>
    <t>08/28/2015</t>
  </si>
  <si>
    <t>10/16/2015</t>
  </si>
  <si>
    <t>12/14/2015</t>
  </si>
  <si>
    <t>01/02/2016</t>
  </si>
  <si>
    <t>07/05/2016</t>
  </si>
  <si>
    <t>02/07/2017</t>
  </si>
  <si>
    <t>02/26/2017</t>
  </si>
  <si>
    <t>03/20/2017</t>
  </si>
  <si>
    <t>03/19/2023</t>
  </si>
  <si>
    <t>05/12/2023</t>
  </si>
  <si>
    <t>02/05/2008</t>
  </si>
  <si>
    <t>07/21/2009</t>
  </si>
  <si>
    <t>10/16/2012</t>
  </si>
  <si>
    <t>03/16/2012</t>
  </si>
  <si>
    <t>05/04/2013</t>
  </si>
  <si>
    <t>03/17/2015</t>
  </si>
  <si>
    <t>07/07/2015</t>
  </si>
  <si>
    <t>09/21/2015</t>
  </si>
  <si>
    <t>12/26/2015</t>
  </si>
  <si>
    <t>02/12/2017</t>
  </si>
  <si>
    <t>09/04/2017</t>
  </si>
  <si>
    <t>02/21/2018</t>
  </si>
  <si>
    <t>06/12/2020</t>
  </si>
  <si>
    <t>07/02/2020</t>
  </si>
  <si>
    <t>09/30/2020</t>
  </si>
  <si>
    <t>05/27/2021</t>
  </si>
  <si>
    <t>11/21/2023</t>
  </si>
  <si>
    <t>03/10/2005</t>
  </si>
  <si>
    <t>08/02/2006</t>
  </si>
  <si>
    <t>10/21/2012</t>
  </si>
  <si>
    <t>01/20/2014</t>
  </si>
  <si>
    <t>03/26/2014</t>
  </si>
  <si>
    <t>06/21/2014</t>
  </si>
  <si>
    <t>12/26/2014</t>
  </si>
  <si>
    <t>06/05/2015</t>
  </si>
  <si>
    <t>08/02/2015</t>
  </si>
  <si>
    <t>02/20/2017</t>
  </si>
  <si>
    <t>08/13/2015</t>
  </si>
  <si>
    <t>07/28/2016</t>
  </si>
  <si>
    <t>09/08/2016</t>
  </si>
  <si>
    <t>08/21/2017</t>
  </si>
  <si>
    <t>06/03/2017</t>
  </si>
  <si>
    <t>05/15/2018</t>
  </si>
  <si>
    <t>04/23/2020</t>
  </si>
  <si>
    <t>02/27/2021</t>
  </si>
  <si>
    <t>01/20/2022</t>
  </si>
  <si>
    <t>02/08/2022</t>
  </si>
  <si>
    <t>02/02/2023</t>
  </si>
  <si>
    <t>02/16/2023</t>
  </si>
  <si>
    <t>08/15/2009</t>
  </si>
  <si>
    <t>03/22/2016</t>
  </si>
  <si>
    <t>BHP</t>
  </si>
  <si>
    <t>Subsea MASP</t>
  </si>
  <si>
    <t>Dry Tree MASP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</si>
</sst>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workbookViewId="0">
      <selection activeCell="N2" sqref="N2"/>
    </sheetView>
  </sheetViews>
  <sheetFormatPr defaultRowHeight="14.4" x14ac:dyDescent="0.3"/>
  <cols>
    <col min="1" max="1" width="12.44140625" bestFit="1" customWidth="1"/>
    <col min="2" max="2" width="11.5546875" customWidth="1"/>
    <col min="3" max="3" width="9.5546875" customWidth="1"/>
    <col min="4" max="4" width="18.33203125" bestFit="1" customWidth="1"/>
    <col min="5" max="5" width="11.88671875" bestFit="1" customWidth="1"/>
    <col min="6" max="6" width="16.77734375" bestFit="1" customWidth="1"/>
    <col min="7" max="7" width="11.109375" customWidth="1"/>
    <col min="8" max="8" width="8.88671875" customWidth="1"/>
    <col min="9" max="9" width="13.88671875" customWidth="1"/>
    <col min="10" max="10" width="14.33203125" customWidth="1"/>
    <col min="11" max="11" width="17.6640625" customWidth="1"/>
    <col min="12" max="12" width="12.77734375" customWidth="1"/>
    <col min="13" max="15" width="1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458</v>
      </c>
      <c r="N1" s="4" t="s">
        <v>459</v>
      </c>
      <c r="O1" s="4" t="s">
        <v>460</v>
      </c>
    </row>
    <row r="2" spans="1:15" x14ac:dyDescent="0.3">
      <c r="A2" t="s">
        <v>12</v>
      </c>
      <c r="B2" t="s">
        <v>23</v>
      </c>
      <c r="C2" t="s">
        <v>38</v>
      </c>
      <c r="D2" t="s">
        <v>50</v>
      </c>
      <c r="E2" t="s">
        <v>172</v>
      </c>
      <c r="F2" t="s">
        <v>224</v>
      </c>
      <c r="G2" t="s">
        <v>340</v>
      </c>
      <c r="H2">
        <v>64</v>
      </c>
      <c r="I2">
        <v>12</v>
      </c>
      <c r="J2" s="2">
        <v>15356</v>
      </c>
      <c r="K2" s="2">
        <v>15356</v>
      </c>
      <c r="L2">
        <v>12.5</v>
      </c>
      <c r="M2" s="3">
        <f t="shared" ref="M2:M13" si="0">L2*K2*0.052</f>
        <v>9981.4</v>
      </c>
      <c r="N2" s="3">
        <f t="shared" ref="N2:N13" si="1">M2-0.32*(K2-C2)</f>
        <v>6693.08</v>
      </c>
      <c r="O2" s="3">
        <f t="shared" ref="O2:O13" si="2">M2-0.32*(K2-0.32*(C2+75))</f>
        <v>5595.3519999999999</v>
      </c>
    </row>
    <row r="3" spans="1:15" x14ac:dyDescent="0.3">
      <c r="A3" t="s">
        <v>12</v>
      </c>
      <c r="B3" t="s">
        <v>23</v>
      </c>
      <c r="C3" t="s">
        <v>38</v>
      </c>
      <c r="D3" t="s">
        <v>51</v>
      </c>
      <c r="E3" t="s">
        <v>172</v>
      </c>
      <c r="F3" t="s">
        <v>225</v>
      </c>
      <c r="G3" t="s">
        <v>341</v>
      </c>
      <c r="H3">
        <v>19</v>
      </c>
      <c r="I3">
        <v>48</v>
      </c>
      <c r="J3" s="2">
        <v>25800</v>
      </c>
      <c r="K3" s="2">
        <v>25797</v>
      </c>
      <c r="L3">
        <v>14.1</v>
      </c>
      <c r="M3" s="3">
        <f t="shared" si="0"/>
        <v>18914.360400000001</v>
      </c>
      <c r="N3" s="3">
        <f t="shared" si="1"/>
        <v>12284.920400000001</v>
      </c>
      <c r="O3" s="3">
        <f t="shared" si="2"/>
        <v>11187.1924</v>
      </c>
    </row>
    <row r="4" spans="1:15" x14ac:dyDescent="0.3">
      <c r="A4" t="s">
        <v>12</v>
      </c>
      <c r="B4" t="s">
        <v>23</v>
      </c>
      <c r="C4" t="s">
        <v>38</v>
      </c>
      <c r="D4" t="s">
        <v>52</v>
      </c>
      <c r="E4" t="s">
        <v>173</v>
      </c>
      <c r="F4" t="s">
        <v>226</v>
      </c>
      <c r="G4" t="s">
        <v>342</v>
      </c>
      <c r="H4">
        <v>110</v>
      </c>
      <c r="I4">
        <v>54</v>
      </c>
      <c r="J4" s="2">
        <v>33750</v>
      </c>
      <c r="K4" s="2">
        <v>33749</v>
      </c>
      <c r="L4">
        <v>15.7</v>
      </c>
      <c r="M4" s="3">
        <f t="shared" si="0"/>
        <v>27552.683599999997</v>
      </c>
      <c r="N4" s="3">
        <f t="shared" si="1"/>
        <v>18378.603599999995</v>
      </c>
      <c r="O4" s="3">
        <f t="shared" si="2"/>
        <v>17280.875599999996</v>
      </c>
    </row>
    <row r="5" spans="1:15" x14ac:dyDescent="0.3">
      <c r="A5" t="s">
        <v>12</v>
      </c>
      <c r="B5" t="s">
        <v>23</v>
      </c>
      <c r="C5" t="s">
        <v>38</v>
      </c>
      <c r="D5" t="s">
        <v>53</v>
      </c>
      <c r="E5" t="s">
        <v>173</v>
      </c>
      <c r="F5" t="s">
        <v>227</v>
      </c>
      <c r="G5" t="s">
        <v>343</v>
      </c>
      <c r="H5">
        <v>22</v>
      </c>
      <c r="I5">
        <v>12</v>
      </c>
      <c r="J5" s="2">
        <v>33400</v>
      </c>
      <c r="K5" s="2">
        <v>33397</v>
      </c>
      <c r="L5">
        <v>15.4</v>
      </c>
      <c r="M5" s="3">
        <f t="shared" si="0"/>
        <v>26744.317599999998</v>
      </c>
      <c r="N5" s="3">
        <f t="shared" si="1"/>
        <v>17682.8776</v>
      </c>
      <c r="O5" s="3">
        <f t="shared" si="2"/>
        <v>16585.149599999997</v>
      </c>
    </row>
    <row r="6" spans="1:15" x14ac:dyDescent="0.3">
      <c r="A6" t="s">
        <v>12</v>
      </c>
      <c r="B6" t="s">
        <v>23</v>
      </c>
      <c r="C6" t="s">
        <v>38</v>
      </c>
      <c r="D6" t="s">
        <v>54</v>
      </c>
      <c r="E6" t="s">
        <v>173</v>
      </c>
      <c r="F6" t="s">
        <v>228</v>
      </c>
      <c r="G6" t="s">
        <v>344</v>
      </c>
      <c r="H6">
        <v>32</v>
      </c>
      <c r="I6">
        <v>29</v>
      </c>
      <c r="J6" s="2">
        <v>35210</v>
      </c>
      <c r="K6" s="2">
        <v>34094</v>
      </c>
      <c r="L6">
        <v>15.6</v>
      </c>
      <c r="M6" s="3">
        <f t="shared" si="0"/>
        <v>27657.052800000001</v>
      </c>
      <c r="N6" s="3">
        <f t="shared" si="1"/>
        <v>18372.572800000002</v>
      </c>
      <c r="O6" s="3">
        <f t="shared" si="2"/>
        <v>17274.844799999999</v>
      </c>
    </row>
    <row r="7" spans="1:15" x14ac:dyDescent="0.3">
      <c r="A7" t="s">
        <v>12</v>
      </c>
      <c r="B7" t="s">
        <v>24</v>
      </c>
      <c r="C7" t="s">
        <v>38</v>
      </c>
      <c r="D7" t="s">
        <v>55</v>
      </c>
      <c r="E7" t="s">
        <v>172</v>
      </c>
      <c r="F7" t="s">
        <v>229</v>
      </c>
      <c r="G7" t="s">
        <v>345</v>
      </c>
      <c r="H7">
        <v>18</v>
      </c>
      <c r="I7">
        <v>12</v>
      </c>
      <c r="J7" s="2">
        <v>11249</v>
      </c>
      <c r="K7" s="2">
        <v>11249</v>
      </c>
      <c r="L7">
        <v>13</v>
      </c>
      <c r="M7" s="3">
        <f t="shared" si="0"/>
        <v>7604.3239999999996</v>
      </c>
      <c r="N7" s="3">
        <f t="shared" si="1"/>
        <v>5630.2439999999997</v>
      </c>
      <c r="O7" s="3">
        <f t="shared" si="2"/>
        <v>4532.5159999999996</v>
      </c>
    </row>
    <row r="8" spans="1:15" x14ac:dyDescent="0.3">
      <c r="A8" t="s">
        <v>12</v>
      </c>
      <c r="B8" t="s">
        <v>24</v>
      </c>
      <c r="C8" t="s">
        <v>38</v>
      </c>
      <c r="D8" t="s">
        <v>56</v>
      </c>
      <c r="E8" t="s">
        <v>172</v>
      </c>
      <c r="F8" t="s">
        <v>230</v>
      </c>
      <c r="G8" t="s">
        <v>346</v>
      </c>
      <c r="H8">
        <v>117</v>
      </c>
      <c r="I8">
        <v>41</v>
      </c>
      <c r="J8" s="2">
        <v>34022</v>
      </c>
      <c r="K8" s="2">
        <v>33910</v>
      </c>
      <c r="L8">
        <v>15.8</v>
      </c>
      <c r="M8" s="3">
        <f t="shared" si="0"/>
        <v>27860.455999999998</v>
      </c>
      <c r="N8" s="3">
        <f t="shared" si="1"/>
        <v>18634.856</v>
      </c>
      <c r="O8" s="3">
        <f t="shared" si="2"/>
        <v>17537.127999999997</v>
      </c>
    </row>
    <row r="9" spans="1:15" x14ac:dyDescent="0.3">
      <c r="A9" t="s">
        <v>12</v>
      </c>
      <c r="B9" t="s">
        <v>23</v>
      </c>
      <c r="C9" t="s">
        <v>38</v>
      </c>
      <c r="D9" t="s">
        <v>57</v>
      </c>
      <c r="E9" t="s">
        <v>174</v>
      </c>
      <c r="F9" t="s">
        <v>231</v>
      </c>
      <c r="G9" t="s">
        <v>347</v>
      </c>
      <c r="H9">
        <v>54</v>
      </c>
      <c r="I9">
        <v>24</v>
      </c>
      <c r="J9" s="2">
        <v>28642</v>
      </c>
      <c r="K9" s="2">
        <v>28359</v>
      </c>
      <c r="L9">
        <v>15.9</v>
      </c>
      <c r="M9" s="3">
        <f t="shared" si="0"/>
        <v>23447.2212</v>
      </c>
      <c r="N9" s="3">
        <f t="shared" si="1"/>
        <v>15997.941200000001</v>
      </c>
      <c r="O9" s="3">
        <f t="shared" si="2"/>
        <v>14900.2132</v>
      </c>
    </row>
    <row r="10" spans="1:15" x14ac:dyDescent="0.3">
      <c r="A10" t="s">
        <v>12</v>
      </c>
      <c r="B10" t="s">
        <v>23</v>
      </c>
      <c r="C10" t="s">
        <v>38</v>
      </c>
      <c r="D10" t="s">
        <v>58</v>
      </c>
      <c r="E10" t="s">
        <v>174</v>
      </c>
      <c r="F10" t="s">
        <v>232</v>
      </c>
      <c r="G10" t="s">
        <v>348</v>
      </c>
      <c r="H10">
        <v>50</v>
      </c>
      <c r="I10">
        <v>24</v>
      </c>
      <c r="J10" s="2">
        <v>33660</v>
      </c>
      <c r="K10" s="2">
        <v>33046</v>
      </c>
      <c r="L10">
        <v>15.8</v>
      </c>
      <c r="M10" s="3">
        <f t="shared" si="0"/>
        <v>27150.5936</v>
      </c>
      <c r="N10" s="3">
        <f t="shared" si="1"/>
        <v>18201.473599999998</v>
      </c>
      <c r="O10" s="3">
        <f t="shared" si="2"/>
        <v>17103.745600000002</v>
      </c>
    </row>
    <row r="11" spans="1:15" x14ac:dyDescent="0.3">
      <c r="A11" t="s">
        <v>12</v>
      </c>
      <c r="B11" t="s">
        <v>23</v>
      </c>
      <c r="C11" t="s">
        <v>38</v>
      </c>
      <c r="D11" t="s">
        <v>59</v>
      </c>
      <c r="E11" t="s">
        <v>175</v>
      </c>
      <c r="F11" t="s">
        <v>233</v>
      </c>
      <c r="G11" t="s">
        <v>349</v>
      </c>
      <c r="H11">
        <v>8</v>
      </c>
      <c r="I11">
        <v>0</v>
      </c>
      <c r="J11" s="2">
        <v>5441</v>
      </c>
      <c r="K11" s="2">
        <v>5441</v>
      </c>
      <c r="L11">
        <v>8.6</v>
      </c>
      <c r="M11" s="3">
        <f t="shared" si="0"/>
        <v>2433.2151999999996</v>
      </c>
      <c r="N11" s="3">
        <f t="shared" si="1"/>
        <v>2317.6951999999997</v>
      </c>
      <c r="O11" s="3">
        <f t="shared" si="2"/>
        <v>1219.9671999999998</v>
      </c>
    </row>
    <row r="12" spans="1:15" x14ac:dyDescent="0.3">
      <c r="A12" t="s">
        <v>12</v>
      </c>
      <c r="B12" t="s">
        <v>23</v>
      </c>
      <c r="C12" t="s">
        <v>38</v>
      </c>
      <c r="D12" t="s">
        <v>60</v>
      </c>
      <c r="E12" t="s">
        <v>176</v>
      </c>
      <c r="F12" t="s">
        <v>234</v>
      </c>
      <c r="G12" t="s">
        <v>350</v>
      </c>
      <c r="H12">
        <v>105</v>
      </c>
      <c r="I12">
        <v>216</v>
      </c>
      <c r="J12" s="2">
        <v>33550</v>
      </c>
      <c r="K12" s="2">
        <v>33399</v>
      </c>
      <c r="L12">
        <v>15.7</v>
      </c>
      <c r="M12" s="3">
        <f t="shared" si="0"/>
        <v>27266.943599999995</v>
      </c>
      <c r="N12" s="3">
        <f t="shared" si="1"/>
        <v>18204.863599999997</v>
      </c>
      <c r="O12" s="3">
        <f t="shared" si="2"/>
        <v>17107.135599999994</v>
      </c>
    </row>
    <row r="13" spans="1:15" x14ac:dyDescent="0.3">
      <c r="A13" t="s">
        <v>12</v>
      </c>
      <c r="B13" t="s">
        <v>23</v>
      </c>
      <c r="C13" t="s">
        <v>38</v>
      </c>
      <c r="D13" t="s">
        <v>61</v>
      </c>
      <c r="E13" t="s">
        <v>177</v>
      </c>
      <c r="F13" t="s">
        <v>235</v>
      </c>
      <c r="G13" t="s">
        <v>351</v>
      </c>
      <c r="H13">
        <v>88</v>
      </c>
      <c r="I13">
        <v>112</v>
      </c>
      <c r="J13" s="2">
        <v>33683</v>
      </c>
      <c r="K13" s="2">
        <v>33367</v>
      </c>
      <c r="L13">
        <v>15.8</v>
      </c>
      <c r="M13" s="3">
        <f t="shared" si="0"/>
        <v>27414.327199999996</v>
      </c>
      <c r="N13" s="3">
        <f t="shared" si="1"/>
        <v>18362.487199999996</v>
      </c>
      <c r="O13" s="3">
        <f t="shared" si="2"/>
        <v>17264.759199999993</v>
      </c>
    </row>
    <row r="14" spans="1:15" x14ac:dyDescent="0.3">
      <c r="J14" s="2"/>
      <c r="K14" s="2"/>
    </row>
    <row r="15" spans="1:15" x14ac:dyDescent="0.3">
      <c r="H15">
        <f>SUM(H2:H14)</f>
        <v>687</v>
      </c>
      <c r="I15">
        <f>SUM(I2:I14)</f>
        <v>584</v>
      </c>
      <c r="J15" s="2"/>
      <c r="K15" s="2"/>
    </row>
    <row r="16" spans="1:15" x14ac:dyDescent="0.3">
      <c r="J16" s="2"/>
      <c r="K16" s="2"/>
    </row>
    <row r="17" spans="1:15" x14ac:dyDescent="0.3">
      <c r="A17" t="s">
        <v>13</v>
      </c>
      <c r="B17" t="s">
        <v>25</v>
      </c>
      <c r="C17" t="s">
        <v>39</v>
      </c>
      <c r="D17" t="s">
        <v>62</v>
      </c>
      <c r="E17" t="s">
        <v>172</v>
      </c>
      <c r="F17" t="s">
        <v>236</v>
      </c>
      <c r="G17" t="s">
        <v>352</v>
      </c>
      <c r="H17">
        <v>85</v>
      </c>
      <c r="I17">
        <v>6</v>
      </c>
      <c r="J17" s="2">
        <v>26710</v>
      </c>
      <c r="K17" s="2">
        <v>26685</v>
      </c>
      <c r="L17">
        <v>14.6</v>
      </c>
      <c r="M17" s="3">
        <f t="shared" ref="M17:M30" si="3">L17*K17*0.052</f>
        <v>20259.252</v>
      </c>
      <c r="N17" s="3">
        <f t="shared" ref="N17:N30" si="4">M17-0.32*(K17-C17)</f>
        <v>14344.052</v>
      </c>
      <c r="O17" s="3">
        <f t="shared" ref="O17:O30" si="5">M17-0.32*(K17-0.32*(C17+75))</f>
        <v>12567.412</v>
      </c>
    </row>
    <row r="18" spans="1:15" x14ac:dyDescent="0.3">
      <c r="A18" t="s">
        <v>13</v>
      </c>
      <c r="B18" t="s">
        <v>25</v>
      </c>
      <c r="C18" t="s">
        <v>39</v>
      </c>
      <c r="D18" t="s">
        <v>63</v>
      </c>
      <c r="E18" t="s">
        <v>172</v>
      </c>
      <c r="F18" t="s">
        <v>237</v>
      </c>
      <c r="G18" t="s">
        <v>353</v>
      </c>
      <c r="H18">
        <v>23</v>
      </c>
      <c r="I18">
        <v>14</v>
      </c>
      <c r="J18" s="2">
        <v>27929</v>
      </c>
      <c r="K18" s="2">
        <v>27908</v>
      </c>
      <c r="L18">
        <v>15.1</v>
      </c>
      <c r="M18" s="3">
        <f t="shared" si="3"/>
        <v>21913.3616</v>
      </c>
      <c r="N18" s="3">
        <f t="shared" si="4"/>
        <v>15606.801599999999</v>
      </c>
      <c r="O18" s="3">
        <f t="shared" si="5"/>
        <v>13830.161599999999</v>
      </c>
    </row>
    <row r="19" spans="1:15" x14ac:dyDescent="0.3">
      <c r="A19" t="s">
        <v>13</v>
      </c>
      <c r="B19" t="s">
        <v>25</v>
      </c>
      <c r="C19" t="s">
        <v>39</v>
      </c>
      <c r="D19" t="s">
        <v>64</v>
      </c>
      <c r="E19" t="s">
        <v>173</v>
      </c>
      <c r="F19" t="s">
        <v>238</v>
      </c>
      <c r="G19" t="s">
        <v>354</v>
      </c>
      <c r="H19">
        <v>74</v>
      </c>
      <c r="I19">
        <v>120</v>
      </c>
      <c r="J19" s="2">
        <v>30213</v>
      </c>
      <c r="K19" s="2">
        <v>28000</v>
      </c>
      <c r="L19">
        <v>14.6</v>
      </c>
      <c r="M19" s="3">
        <f t="shared" si="3"/>
        <v>21257.599999999999</v>
      </c>
      <c r="N19" s="3">
        <f t="shared" si="4"/>
        <v>14921.599999999999</v>
      </c>
      <c r="O19" s="3">
        <f t="shared" si="5"/>
        <v>13144.96</v>
      </c>
    </row>
    <row r="20" spans="1:15" x14ac:dyDescent="0.3">
      <c r="A20" t="s">
        <v>13</v>
      </c>
      <c r="B20" t="s">
        <v>25</v>
      </c>
      <c r="C20" t="s">
        <v>39</v>
      </c>
      <c r="D20" t="s">
        <v>65</v>
      </c>
      <c r="E20" t="s">
        <v>173</v>
      </c>
      <c r="F20" t="s">
        <v>239</v>
      </c>
      <c r="G20" t="s">
        <v>355</v>
      </c>
      <c r="H20">
        <v>45</v>
      </c>
      <c r="I20">
        <v>48</v>
      </c>
      <c r="J20" s="2">
        <v>28565</v>
      </c>
      <c r="K20" s="2">
        <v>26575</v>
      </c>
      <c r="L20">
        <v>14.7</v>
      </c>
      <c r="M20" s="3">
        <f t="shared" si="3"/>
        <v>20313.93</v>
      </c>
      <c r="N20" s="3">
        <f t="shared" si="4"/>
        <v>14433.93</v>
      </c>
      <c r="O20" s="3">
        <f t="shared" si="5"/>
        <v>12657.29</v>
      </c>
    </row>
    <row r="21" spans="1:15" x14ac:dyDescent="0.3">
      <c r="A21" t="s">
        <v>13</v>
      </c>
      <c r="B21" t="s">
        <v>25</v>
      </c>
      <c r="C21" t="s">
        <v>39</v>
      </c>
      <c r="D21" t="s">
        <v>66</v>
      </c>
      <c r="E21" t="s">
        <v>178</v>
      </c>
      <c r="F21" t="s">
        <v>240</v>
      </c>
      <c r="G21" t="s">
        <v>356</v>
      </c>
      <c r="H21">
        <v>210</v>
      </c>
      <c r="I21">
        <v>204</v>
      </c>
      <c r="J21" s="2">
        <v>27019</v>
      </c>
      <c r="K21" s="2">
        <v>26804</v>
      </c>
      <c r="L21">
        <v>14.7</v>
      </c>
      <c r="M21" s="3">
        <f t="shared" si="3"/>
        <v>20488.977599999998</v>
      </c>
      <c r="N21" s="3">
        <f t="shared" si="4"/>
        <v>14535.6976</v>
      </c>
      <c r="O21" s="3">
        <f t="shared" si="5"/>
        <v>12759.057599999998</v>
      </c>
    </row>
    <row r="22" spans="1:15" x14ac:dyDescent="0.3">
      <c r="A22" t="s">
        <v>13</v>
      </c>
      <c r="B22" t="s">
        <v>25</v>
      </c>
      <c r="C22" t="s">
        <v>39</v>
      </c>
      <c r="D22" t="s">
        <v>67</v>
      </c>
      <c r="E22" t="s">
        <v>179</v>
      </c>
      <c r="F22" t="s">
        <v>241</v>
      </c>
      <c r="G22" t="s">
        <v>357</v>
      </c>
      <c r="H22">
        <v>179</v>
      </c>
      <c r="I22">
        <v>12</v>
      </c>
      <c r="J22" s="2">
        <v>19400</v>
      </c>
      <c r="K22" s="2">
        <v>19348</v>
      </c>
      <c r="L22">
        <v>14</v>
      </c>
      <c r="M22" s="3">
        <f t="shared" si="3"/>
        <v>14085.343999999999</v>
      </c>
      <c r="N22" s="3">
        <f t="shared" si="4"/>
        <v>10517.983999999999</v>
      </c>
      <c r="O22" s="3">
        <f t="shared" si="5"/>
        <v>8741.3439999999991</v>
      </c>
    </row>
    <row r="23" spans="1:15" x14ac:dyDescent="0.3">
      <c r="A23" t="s">
        <v>13</v>
      </c>
      <c r="B23" t="s">
        <v>25</v>
      </c>
      <c r="C23" t="s">
        <v>39</v>
      </c>
      <c r="D23" t="s">
        <v>68</v>
      </c>
      <c r="E23" t="s">
        <v>180</v>
      </c>
      <c r="F23" t="s">
        <v>242</v>
      </c>
      <c r="G23" t="s">
        <v>358</v>
      </c>
      <c r="H23">
        <v>69</v>
      </c>
      <c r="I23">
        <v>150</v>
      </c>
      <c r="J23" s="2">
        <v>27243</v>
      </c>
      <c r="K23" s="2">
        <v>26493</v>
      </c>
      <c r="L23">
        <v>14.6</v>
      </c>
      <c r="M23" s="3">
        <f t="shared" si="3"/>
        <v>20113.4856</v>
      </c>
      <c r="N23" s="3">
        <f t="shared" si="4"/>
        <v>14259.7256</v>
      </c>
      <c r="O23" s="3">
        <f t="shared" si="5"/>
        <v>12483.085599999999</v>
      </c>
    </row>
    <row r="24" spans="1:15" x14ac:dyDescent="0.3">
      <c r="A24" t="s">
        <v>13</v>
      </c>
      <c r="B24" t="s">
        <v>25</v>
      </c>
      <c r="C24" t="s">
        <v>39</v>
      </c>
      <c r="D24" t="s">
        <v>69</v>
      </c>
      <c r="E24" t="s">
        <v>181</v>
      </c>
      <c r="F24" t="s">
        <v>243</v>
      </c>
      <c r="G24" t="s">
        <v>359</v>
      </c>
      <c r="H24">
        <v>5</v>
      </c>
      <c r="I24">
        <v>6</v>
      </c>
      <c r="J24" s="2">
        <v>11967</v>
      </c>
      <c r="K24" s="2">
        <v>11967</v>
      </c>
      <c r="L24">
        <v>12.5</v>
      </c>
      <c r="M24" s="3">
        <f t="shared" si="3"/>
        <v>7778.5499999999993</v>
      </c>
      <c r="N24" s="3">
        <f t="shared" si="4"/>
        <v>6573.1099999999988</v>
      </c>
      <c r="O24" s="3">
        <f t="shared" si="5"/>
        <v>4796.4699999999993</v>
      </c>
    </row>
    <row r="25" spans="1:15" x14ac:dyDescent="0.3">
      <c r="A25" t="s">
        <v>13</v>
      </c>
      <c r="B25" t="s">
        <v>25</v>
      </c>
      <c r="C25" t="s">
        <v>39</v>
      </c>
      <c r="D25" t="s">
        <v>70</v>
      </c>
      <c r="E25" t="s">
        <v>182</v>
      </c>
      <c r="F25" t="s">
        <v>244</v>
      </c>
      <c r="G25" t="s">
        <v>360</v>
      </c>
      <c r="H25">
        <v>224</v>
      </c>
      <c r="I25">
        <v>103</v>
      </c>
      <c r="J25" s="2">
        <v>27460</v>
      </c>
      <c r="K25" s="2">
        <v>26969</v>
      </c>
      <c r="L25">
        <v>15</v>
      </c>
      <c r="M25" s="3">
        <f t="shared" si="3"/>
        <v>21035.82</v>
      </c>
      <c r="N25" s="3">
        <f t="shared" si="4"/>
        <v>15029.74</v>
      </c>
      <c r="O25" s="3">
        <f t="shared" si="5"/>
        <v>13253.099999999999</v>
      </c>
    </row>
    <row r="26" spans="1:15" x14ac:dyDescent="0.3">
      <c r="A26" t="s">
        <v>14</v>
      </c>
      <c r="B26" t="s">
        <v>26</v>
      </c>
      <c r="C26" t="s">
        <v>40</v>
      </c>
      <c r="D26" t="s">
        <v>71</v>
      </c>
      <c r="E26" t="s">
        <v>172</v>
      </c>
      <c r="F26" t="s">
        <v>245</v>
      </c>
      <c r="G26" t="s">
        <v>361</v>
      </c>
      <c r="H26">
        <v>157</v>
      </c>
      <c r="I26">
        <v>18</v>
      </c>
      <c r="J26" s="2">
        <v>27652</v>
      </c>
      <c r="K26" s="2">
        <v>27626</v>
      </c>
      <c r="L26">
        <v>14.9</v>
      </c>
      <c r="M26" s="3">
        <f t="shared" si="3"/>
        <v>21404.624800000001</v>
      </c>
      <c r="N26" s="3">
        <f t="shared" si="4"/>
        <v>15412.304800000002</v>
      </c>
      <c r="O26" s="3">
        <f t="shared" si="5"/>
        <v>13483.344800000003</v>
      </c>
    </row>
    <row r="27" spans="1:15" x14ac:dyDescent="0.3">
      <c r="A27" t="s">
        <v>14</v>
      </c>
      <c r="B27" t="s">
        <v>26</v>
      </c>
      <c r="C27" t="s">
        <v>40</v>
      </c>
      <c r="D27" t="s">
        <v>72</v>
      </c>
      <c r="E27" t="s">
        <v>173</v>
      </c>
      <c r="F27" t="s">
        <v>246</v>
      </c>
      <c r="G27" t="s">
        <v>362</v>
      </c>
      <c r="H27">
        <v>29</v>
      </c>
      <c r="I27">
        <v>12</v>
      </c>
      <c r="J27" s="2">
        <v>21695</v>
      </c>
      <c r="K27" s="2">
        <v>21671</v>
      </c>
      <c r="L27">
        <v>12.5</v>
      </c>
      <c r="M27" s="3">
        <f t="shared" si="3"/>
        <v>14086.15</v>
      </c>
      <c r="N27" s="3">
        <f t="shared" si="4"/>
        <v>9999.43</v>
      </c>
      <c r="O27" s="3">
        <f t="shared" si="5"/>
        <v>8070.4699999999993</v>
      </c>
    </row>
    <row r="28" spans="1:15" x14ac:dyDescent="0.3">
      <c r="A28" t="s">
        <v>14</v>
      </c>
      <c r="B28" t="s">
        <v>26</v>
      </c>
      <c r="C28" t="s">
        <v>40</v>
      </c>
      <c r="D28" t="s">
        <v>73</v>
      </c>
      <c r="E28" t="s">
        <v>173</v>
      </c>
      <c r="F28" t="s">
        <v>247</v>
      </c>
      <c r="G28" t="s">
        <v>363</v>
      </c>
      <c r="H28">
        <v>32</v>
      </c>
      <c r="I28">
        <v>6</v>
      </c>
      <c r="J28" s="2">
        <v>25077</v>
      </c>
      <c r="K28" s="2">
        <v>25022</v>
      </c>
      <c r="L28">
        <v>14</v>
      </c>
      <c r="M28" s="3">
        <f t="shared" si="3"/>
        <v>18216.016</v>
      </c>
      <c r="N28" s="3">
        <f t="shared" si="4"/>
        <v>13056.975999999999</v>
      </c>
      <c r="O28" s="3">
        <f t="shared" si="5"/>
        <v>11128.016</v>
      </c>
    </row>
    <row r="29" spans="1:15" x14ac:dyDescent="0.3">
      <c r="A29" t="s">
        <v>14</v>
      </c>
      <c r="B29" t="s">
        <v>26</v>
      </c>
      <c r="C29" t="s">
        <v>40</v>
      </c>
      <c r="D29" t="s">
        <v>74</v>
      </c>
      <c r="E29" t="s">
        <v>183</v>
      </c>
      <c r="F29" t="s">
        <v>248</v>
      </c>
      <c r="G29" t="s">
        <v>364</v>
      </c>
      <c r="H29">
        <v>16</v>
      </c>
      <c r="I29">
        <v>73</v>
      </c>
      <c r="J29" s="2">
        <v>26378</v>
      </c>
      <c r="K29" s="2">
        <v>26222</v>
      </c>
      <c r="L29">
        <v>14</v>
      </c>
      <c r="M29" s="3">
        <f t="shared" si="3"/>
        <v>19089.615999999998</v>
      </c>
      <c r="N29" s="3">
        <f t="shared" si="4"/>
        <v>13546.575999999997</v>
      </c>
      <c r="O29" s="3">
        <f t="shared" si="5"/>
        <v>11617.615999999998</v>
      </c>
    </row>
    <row r="30" spans="1:15" x14ac:dyDescent="0.3">
      <c r="A30" t="s">
        <v>14</v>
      </c>
      <c r="B30" t="s">
        <v>26</v>
      </c>
      <c r="C30" t="s">
        <v>40</v>
      </c>
      <c r="D30" t="s">
        <v>75</v>
      </c>
      <c r="E30" t="s">
        <v>184</v>
      </c>
      <c r="F30" t="s">
        <v>249</v>
      </c>
      <c r="G30" t="s">
        <v>365</v>
      </c>
      <c r="H30">
        <v>94</v>
      </c>
      <c r="I30">
        <v>261</v>
      </c>
      <c r="J30" s="2">
        <v>26480</v>
      </c>
      <c r="K30" s="2">
        <v>26263</v>
      </c>
      <c r="L30">
        <v>14.4</v>
      </c>
      <c r="M30" s="3">
        <f t="shared" si="3"/>
        <v>19665.734400000001</v>
      </c>
      <c r="N30" s="3">
        <f t="shared" si="4"/>
        <v>14109.574400000001</v>
      </c>
      <c r="O30" s="3">
        <f t="shared" si="5"/>
        <v>12180.614400000002</v>
      </c>
    </row>
    <row r="31" spans="1:15" x14ac:dyDescent="0.3">
      <c r="J31" s="2"/>
      <c r="K31" s="2"/>
    </row>
    <row r="32" spans="1:15" x14ac:dyDescent="0.3">
      <c r="H32">
        <f>SUM(H17:H31)</f>
        <v>1242</v>
      </c>
      <c r="I32">
        <f>SUM(I17:I31)</f>
        <v>1033</v>
      </c>
      <c r="J32" s="2"/>
      <c r="K32" s="2"/>
    </row>
    <row r="33" spans="1:15" x14ac:dyDescent="0.3">
      <c r="J33" s="2"/>
      <c r="K33" s="2"/>
    </row>
    <row r="34" spans="1:15" x14ac:dyDescent="0.3">
      <c r="A34" t="s">
        <v>15</v>
      </c>
      <c r="B34" t="s">
        <v>27</v>
      </c>
      <c r="C34" t="s">
        <v>41</v>
      </c>
      <c r="D34" t="s">
        <v>76</v>
      </c>
      <c r="E34" t="s">
        <v>172</v>
      </c>
      <c r="F34" t="s">
        <v>250</v>
      </c>
      <c r="G34" t="s">
        <v>366</v>
      </c>
      <c r="H34">
        <v>66</v>
      </c>
      <c r="I34">
        <v>34</v>
      </c>
      <c r="J34" s="2">
        <v>20300</v>
      </c>
      <c r="K34" s="2">
        <v>20266</v>
      </c>
      <c r="L34">
        <v>12.3</v>
      </c>
      <c r="M34" s="3">
        <f t="shared" ref="M34:M41" si="6">L34*K34*0.052</f>
        <v>12962.133600000001</v>
      </c>
      <c r="N34" s="3">
        <f t="shared" ref="N34:N41" si="7">M34-0.32*(K34-C34)</f>
        <v>8793.8136000000013</v>
      </c>
      <c r="O34" s="3">
        <f t="shared" ref="O34:O41" si="8">M34-0.32*(K34-0.32*(C34+75))</f>
        <v>7226.0696000000007</v>
      </c>
    </row>
    <row r="35" spans="1:15" x14ac:dyDescent="0.3">
      <c r="A35" t="s">
        <v>15</v>
      </c>
      <c r="B35" t="s">
        <v>27</v>
      </c>
      <c r="C35" t="s">
        <v>41</v>
      </c>
      <c r="D35" t="s">
        <v>77</v>
      </c>
      <c r="E35" t="s">
        <v>172</v>
      </c>
      <c r="F35" t="s">
        <v>251</v>
      </c>
      <c r="G35" t="s">
        <v>367</v>
      </c>
      <c r="H35">
        <v>9</v>
      </c>
      <c r="I35">
        <v>13</v>
      </c>
      <c r="J35" s="2">
        <v>26850</v>
      </c>
      <c r="K35" s="2">
        <v>26795</v>
      </c>
      <c r="L35">
        <v>13.5</v>
      </c>
      <c r="M35" s="3">
        <f t="shared" si="6"/>
        <v>18810.09</v>
      </c>
      <c r="N35" s="3">
        <f t="shared" si="7"/>
        <v>12552.49</v>
      </c>
      <c r="O35" s="3">
        <f t="shared" si="8"/>
        <v>10984.745999999999</v>
      </c>
    </row>
    <row r="36" spans="1:15" x14ac:dyDescent="0.3">
      <c r="A36" t="s">
        <v>15</v>
      </c>
      <c r="B36" t="s">
        <v>27</v>
      </c>
      <c r="C36" t="s">
        <v>41</v>
      </c>
      <c r="D36" t="s">
        <v>78</v>
      </c>
      <c r="E36" t="s">
        <v>173</v>
      </c>
      <c r="F36" t="s">
        <v>252</v>
      </c>
      <c r="G36" t="s">
        <v>368</v>
      </c>
      <c r="H36">
        <v>102</v>
      </c>
      <c r="I36">
        <v>27</v>
      </c>
      <c r="J36" s="2">
        <v>29066</v>
      </c>
      <c r="K36" s="2">
        <v>29012</v>
      </c>
      <c r="L36">
        <v>14.2</v>
      </c>
      <c r="M36" s="3">
        <f t="shared" si="6"/>
        <v>21422.460799999997</v>
      </c>
      <c r="N36" s="3">
        <f t="shared" si="7"/>
        <v>14455.420799999996</v>
      </c>
      <c r="O36" s="3">
        <f t="shared" si="8"/>
        <v>12887.676799999997</v>
      </c>
    </row>
    <row r="37" spans="1:15" x14ac:dyDescent="0.3">
      <c r="A37" t="s">
        <v>15</v>
      </c>
      <c r="B37" t="s">
        <v>27</v>
      </c>
      <c r="C37" t="s">
        <v>41</v>
      </c>
      <c r="D37" t="s">
        <v>79</v>
      </c>
      <c r="E37" t="s">
        <v>172</v>
      </c>
      <c r="F37" t="s">
        <v>253</v>
      </c>
      <c r="G37" t="s">
        <v>369</v>
      </c>
      <c r="H37">
        <v>24</v>
      </c>
      <c r="I37">
        <v>18</v>
      </c>
      <c r="J37" s="2">
        <v>28905</v>
      </c>
      <c r="K37" s="2">
        <v>28845</v>
      </c>
      <c r="L37">
        <v>13.8</v>
      </c>
      <c r="M37" s="3">
        <f t="shared" si="6"/>
        <v>20699.171999999999</v>
      </c>
      <c r="N37" s="3">
        <f t="shared" si="7"/>
        <v>13785.571999999998</v>
      </c>
      <c r="O37" s="3">
        <f t="shared" si="8"/>
        <v>12217.827999999998</v>
      </c>
    </row>
    <row r="38" spans="1:15" x14ac:dyDescent="0.3">
      <c r="A38" t="s">
        <v>15</v>
      </c>
      <c r="B38" t="s">
        <v>27</v>
      </c>
      <c r="C38" t="s">
        <v>41</v>
      </c>
      <c r="D38" t="s">
        <v>80</v>
      </c>
      <c r="E38" t="s">
        <v>174</v>
      </c>
      <c r="F38" t="s">
        <v>254</v>
      </c>
      <c r="G38" t="s">
        <v>370</v>
      </c>
      <c r="H38">
        <v>230</v>
      </c>
      <c r="I38">
        <v>18</v>
      </c>
      <c r="J38" s="2">
        <v>28240</v>
      </c>
      <c r="K38" s="2">
        <v>28238</v>
      </c>
      <c r="L38">
        <v>14.4</v>
      </c>
      <c r="M38" s="3">
        <f t="shared" si="6"/>
        <v>21144.614399999999</v>
      </c>
      <c r="N38" s="3">
        <f t="shared" si="7"/>
        <v>14425.254399999998</v>
      </c>
      <c r="O38" s="3">
        <f t="shared" si="8"/>
        <v>12857.510399999997</v>
      </c>
    </row>
    <row r="39" spans="1:15" x14ac:dyDescent="0.3">
      <c r="A39" t="s">
        <v>15</v>
      </c>
      <c r="B39" t="s">
        <v>27</v>
      </c>
      <c r="C39" t="s">
        <v>41</v>
      </c>
      <c r="D39" t="s">
        <v>81</v>
      </c>
      <c r="E39" t="s">
        <v>174</v>
      </c>
      <c r="F39" t="s">
        <v>255</v>
      </c>
      <c r="G39" t="s">
        <v>371</v>
      </c>
      <c r="H39">
        <v>61</v>
      </c>
      <c r="I39">
        <v>28</v>
      </c>
      <c r="J39" s="2">
        <v>28360</v>
      </c>
      <c r="K39" s="2">
        <v>28265</v>
      </c>
      <c r="L39">
        <v>14.1</v>
      </c>
      <c r="M39" s="3">
        <f t="shared" si="6"/>
        <v>20723.897999999997</v>
      </c>
      <c r="N39" s="3">
        <f t="shared" si="7"/>
        <v>13995.897999999997</v>
      </c>
      <c r="O39" s="3">
        <f t="shared" si="8"/>
        <v>12428.153999999997</v>
      </c>
    </row>
    <row r="40" spans="1:15" x14ac:dyDescent="0.3">
      <c r="A40" t="s">
        <v>15</v>
      </c>
      <c r="B40" t="s">
        <v>27</v>
      </c>
      <c r="C40" t="s">
        <v>41</v>
      </c>
      <c r="D40" t="s">
        <v>82</v>
      </c>
      <c r="E40" t="s">
        <v>185</v>
      </c>
      <c r="F40" t="s">
        <v>256</v>
      </c>
      <c r="G40" t="s">
        <v>372</v>
      </c>
      <c r="H40">
        <v>109</v>
      </c>
      <c r="I40">
        <v>119</v>
      </c>
      <c r="J40" s="2">
        <v>28350</v>
      </c>
      <c r="K40" s="2">
        <v>28291</v>
      </c>
      <c r="L40">
        <v>14.2</v>
      </c>
      <c r="M40" s="3">
        <f t="shared" si="6"/>
        <v>20890.074399999998</v>
      </c>
      <c r="N40" s="3">
        <f t="shared" si="7"/>
        <v>14153.754399999998</v>
      </c>
      <c r="O40" s="3">
        <f t="shared" si="8"/>
        <v>12586.010399999997</v>
      </c>
    </row>
    <row r="41" spans="1:15" x14ac:dyDescent="0.3">
      <c r="A41" t="s">
        <v>15</v>
      </c>
      <c r="B41" t="s">
        <v>27</v>
      </c>
      <c r="C41" t="s">
        <v>41</v>
      </c>
      <c r="D41" t="s">
        <v>83</v>
      </c>
      <c r="E41" t="s">
        <v>186</v>
      </c>
      <c r="F41" t="s">
        <v>257</v>
      </c>
      <c r="G41" t="s">
        <v>373</v>
      </c>
      <c r="H41">
        <v>49</v>
      </c>
      <c r="I41">
        <v>117</v>
      </c>
      <c r="J41" s="2">
        <v>28475</v>
      </c>
      <c r="K41" s="2">
        <v>28300</v>
      </c>
      <c r="L41">
        <v>14.1</v>
      </c>
      <c r="M41" s="3">
        <f t="shared" si="6"/>
        <v>20749.559999999998</v>
      </c>
      <c r="N41" s="3">
        <f t="shared" si="7"/>
        <v>14010.359999999997</v>
      </c>
      <c r="O41" s="3">
        <f t="shared" si="8"/>
        <v>12442.615999999998</v>
      </c>
    </row>
    <row r="42" spans="1:15" x14ac:dyDescent="0.3">
      <c r="J42" s="2"/>
      <c r="K42" s="2"/>
    </row>
    <row r="43" spans="1:15" x14ac:dyDescent="0.3">
      <c r="H43">
        <f>SUM(H34:H42)</f>
        <v>650</v>
      </c>
      <c r="I43">
        <f>SUM(I34:I42)</f>
        <v>374</v>
      </c>
      <c r="J43" s="2"/>
      <c r="K43" s="2"/>
    </row>
    <row r="44" spans="1:15" x14ac:dyDescent="0.3">
      <c r="J44" s="2"/>
      <c r="K44" s="2"/>
    </row>
    <row r="45" spans="1:15" x14ac:dyDescent="0.3">
      <c r="A45" t="s">
        <v>16</v>
      </c>
      <c r="B45" t="s">
        <v>28</v>
      </c>
      <c r="C45" t="s">
        <v>42</v>
      </c>
      <c r="D45" t="s">
        <v>84</v>
      </c>
      <c r="E45" t="s">
        <v>187</v>
      </c>
      <c r="F45" t="s">
        <v>258</v>
      </c>
      <c r="G45" t="s">
        <v>374</v>
      </c>
      <c r="H45">
        <v>98</v>
      </c>
      <c r="I45">
        <v>66</v>
      </c>
      <c r="J45" s="2">
        <v>30955</v>
      </c>
      <c r="K45" s="2">
        <v>30951</v>
      </c>
      <c r="L45">
        <v>14.3</v>
      </c>
      <c r="M45" s="3">
        <f t="shared" ref="M45:M53" si="9">L45*K45*0.052</f>
        <v>23015.1636</v>
      </c>
      <c r="N45" s="3">
        <f t="shared" ref="N45:N53" si="10">M45-0.32*(K45-C45)</f>
        <v>15458.043600000001</v>
      </c>
      <c r="O45" s="3">
        <f t="shared" ref="O45:O53" si="11">M45-0.32*(K45-0.32*(C45+75))</f>
        <v>13869.6276</v>
      </c>
    </row>
    <row r="46" spans="1:15" x14ac:dyDescent="0.3">
      <c r="A46" t="s">
        <v>16</v>
      </c>
      <c r="B46" t="s">
        <v>28</v>
      </c>
      <c r="C46" t="s">
        <v>42</v>
      </c>
      <c r="D46" t="s">
        <v>85</v>
      </c>
      <c r="E46" t="s">
        <v>188</v>
      </c>
      <c r="F46" t="s">
        <v>259</v>
      </c>
      <c r="G46" t="s">
        <v>375</v>
      </c>
      <c r="H46">
        <v>117</v>
      </c>
      <c r="I46">
        <v>116</v>
      </c>
      <c r="J46" s="2">
        <v>30944</v>
      </c>
      <c r="K46" s="2">
        <v>30685</v>
      </c>
      <c r="L46">
        <v>16</v>
      </c>
      <c r="M46" s="3">
        <f t="shared" si="9"/>
        <v>25529.919999999998</v>
      </c>
      <c r="N46" s="3">
        <f t="shared" si="10"/>
        <v>18057.919999999998</v>
      </c>
      <c r="O46" s="3">
        <f t="shared" si="11"/>
        <v>16469.504000000001</v>
      </c>
    </row>
    <row r="47" spans="1:15" x14ac:dyDescent="0.3">
      <c r="A47" t="s">
        <v>16</v>
      </c>
      <c r="B47" t="s">
        <v>28</v>
      </c>
      <c r="C47" t="s">
        <v>42</v>
      </c>
      <c r="D47" t="s">
        <v>86</v>
      </c>
      <c r="E47" t="s">
        <v>187</v>
      </c>
      <c r="F47" t="s">
        <v>260</v>
      </c>
      <c r="G47" t="s">
        <v>376</v>
      </c>
      <c r="H47">
        <v>38</v>
      </c>
      <c r="I47">
        <v>144</v>
      </c>
      <c r="J47" s="2">
        <v>30483</v>
      </c>
      <c r="K47" s="2">
        <v>30453</v>
      </c>
      <c r="L47">
        <v>14.5</v>
      </c>
      <c r="M47" s="3">
        <f t="shared" si="9"/>
        <v>22961.561999999998</v>
      </c>
      <c r="N47" s="3">
        <f t="shared" si="10"/>
        <v>15563.801999999998</v>
      </c>
      <c r="O47" s="3">
        <f t="shared" si="11"/>
        <v>13975.385999999999</v>
      </c>
    </row>
    <row r="48" spans="1:15" x14ac:dyDescent="0.3">
      <c r="A48" t="s">
        <v>16</v>
      </c>
      <c r="B48" t="s">
        <v>28</v>
      </c>
      <c r="C48" t="s">
        <v>42</v>
      </c>
      <c r="D48" t="s">
        <v>87</v>
      </c>
      <c r="E48" t="s">
        <v>189</v>
      </c>
      <c r="F48" t="s">
        <v>261</v>
      </c>
      <c r="G48" t="s">
        <v>377</v>
      </c>
      <c r="H48">
        <v>83</v>
      </c>
      <c r="I48">
        <v>19</v>
      </c>
      <c r="J48" s="2">
        <v>31400</v>
      </c>
      <c r="K48" s="2">
        <v>30815</v>
      </c>
      <c r="L48">
        <v>14.2</v>
      </c>
      <c r="M48" s="3">
        <f t="shared" si="9"/>
        <v>22753.795999999998</v>
      </c>
      <c r="N48" s="3">
        <f t="shared" si="10"/>
        <v>15240.195999999998</v>
      </c>
      <c r="O48" s="3">
        <f t="shared" si="11"/>
        <v>13651.779999999999</v>
      </c>
    </row>
    <row r="49" spans="1:15" x14ac:dyDescent="0.3">
      <c r="A49" t="s">
        <v>16</v>
      </c>
      <c r="B49" t="s">
        <v>28</v>
      </c>
      <c r="C49" t="s">
        <v>42</v>
      </c>
      <c r="D49" t="s">
        <v>88</v>
      </c>
      <c r="E49" t="s">
        <v>190</v>
      </c>
      <c r="F49" t="s">
        <v>262</v>
      </c>
      <c r="G49" t="s">
        <v>378</v>
      </c>
      <c r="H49">
        <v>139</v>
      </c>
      <c r="I49">
        <v>107</v>
      </c>
      <c r="J49" s="2">
        <v>31315</v>
      </c>
      <c r="K49" s="2">
        <v>30310</v>
      </c>
      <c r="L49">
        <v>16</v>
      </c>
      <c r="M49" s="3">
        <f t="shared" si="9"/>
        <v>25217.919999999998</v>
      </c>
      <c r="N49" s="3">
        <f t="shared" si="10"/>
        <v>17865.919999999998</v>
      </c>
      <c r="O49" s="3">
        <f t="shared" si="11"/>
        <v>16277.503999999999</v>
      </c>
    </row>
    <row r="50" spans="1:15" x14ac:dyDescent="0.3">
      <c r="A50" t="s">
        <v>16</v>
      </c>
      <c r="B50" t="s">
        <v>28</v>
      </c>
      <c r="C50" t="s">
        <v>42</v>
      </c>
      <c r="D50" t="s">
        <v>89</v>
      </c>
      <c r="E50" t="s">
        <v>191</v>
      </c>
      <c r="F50" t="s">
        <v>263</v>
      </c>
      <c r="G50" t="s">
        <v>379</v>
      </c>
      <c r="H50">
        <v>54</v>
      </c>
      <c r="I50">
        <v>78</v>
      </c>
      <c r="J50" s="2">
        <v>22195</v>
      </c>
      <c r="K50" s="2">
        <v>21096</v>
      </c>
      <c r="L50">
        <v>13.2</v>
      </c>
      <c r="M50" s="3">
        <f t="shared" si="9"/>
        <v>14480.294400000001</v>
      </c>
      <c r="N50" s="3">
        <f t="shared" si="10"/>
        <v>10076.7744</v>
      </c>
      <c r="O50" s="3">
        <f t="shared" si="11"/>
        <v>8488.358400000001</v>
      </c>
    </row>
    <row r="51" spans="1:15" x14ac:dyDescent="0.3">
      <c r="A51" t="s">
        <v>16</v>
      </c>
      <c r="B51" t="s">
        <v>28</v>
      </c>
      <c r="C51" t="s">
        <v>42</v>
      </c>
      <c r="D51" t="s">
        <v>90</v>
      </c>
      <c r="E51" t="s">
        <v>191</v>
      </c>
      <c r="F51" t="s">
        <v>264</v>
      </c>
      <c r="G51" t="s">
        <v>380</v>
      </c>
      <c r="H51">
        <v>123</v>
      </c>
      <c r="I51">
        <v>84</v>
      </c>
      <c r="J51" s="2">
        <v>31472</v>
      </c>
      <c r="K51" s="2">
        <v>28961</v>
      </c>
      <c r="L51">
        <v>14.8</v>
      </c>
      <c r="M51" s="3">
        <f t="shared" si="9"/>
        <v>22288.385600000001</v>
      </c>
      <c r="N51" s="3">
        <f t="shared" si="10"/>
        <v>15368.065600000002</v>
      </c>
      <c r="O51" s="3">
        <f t="shared" si="11"/>
        <v>13779.649600000001</v>
      </c>
    </row>
    <row r="52" spans="1:15" x14ac:dyDescent="0.3">
      <c r="A52" t="s">
        <v>16</v>
      </c>
      <c r="B52" t="s">
        <v>28</v>
      </c>
      <c r="C52" t="s">
        <v>42</v>
      </c>
      <c r="D52" t="s">
        <v>91</v>
      </c>
      <c r="E52" t="s">
        <v>192</v>
      </c>
      <c r="F52" t="s">
        <v>265</v>
      </c>
      <c r="G52" t="s">
        <v>381</v>
      </c>
      <c r="H52">
        <v>140</v>
      </c>
      <c r="I52">
        <v>30</v>
      </c>
      <c r="J52" s="2">
        <v>33077</v>
      </c>
      <c r="K52" s="2">
        <v>30334</v>
      </c>
      <c r="L52">
        <v>14.6</v>
      </c>
      <c r="M52" s="3">
        <f t="shared" si="9"/>
        <v>23029.572799999998</v>
      </c>
      <c r="N52" s="3">
        <f t="shared" si="10"/>
        <v>15669.892799999998</v>
      </c>
      <c r="O52" s="3">
        <f t="shared" si="11"/>
        <v>14081.476799999999</v>
      </c>
    </row>
    <row r="53" spans="1:15" x14ac:dyDescent="0.3">
      <c r="A53" t="s">
        <v>16</v>
      </c>
      <c r="B53" t="s">
        <v>28</v>
      </c>
      <c r="C53" t="s">
        <v>42</v>
      </c>
      <c r="D53" t="s">
        <v>92</v>
      </c>
      <c r="E53" t="s">
        <v>192</v>
      </c>
      <c r="F53" t="s">
        <v>266</v>
      </c>
      <c r="G53" t="s">
        <v>382</v>
      </c>
      <c r="H53">
        <v>20</v>
      </c>
      <c r="I53">
        <v>76</v>
      </c>
      <c r="J53" s="2">
        <v>31910</v>
      </c>
      <c r="K53" s="2">
        <v>29185</v>
      </c>
      <c r="L53">
        <v>14.3</v>
      </c>
      <c r="M53" s="3">
        <f t="shared" si="9"/>
        <v>21701.966</v>
      </c>
      <c r="N53" s="3">
        <f t="shared" si="10"/>
        <v>14709.966</v>
      </c>
      <c r="O53" s="3">
        <f t="shared" si="11"/>
        <v>13121.550000000001</v>
      </c>
    </row>
    <row r="54" spans="1:15" x14ac:dyDescent="0.3">
      <c r="J54" s="2"/>
      <c r="K54" s="2"/>
    </row>
    <row r="55" spans="1:15" x14ac:dyDescent="0.3">
      <c r="H55">
        <f>SUM(H45:H54)</f>
        <v>812</v>
      </c>
      <c r="I55">
        <f>SUM(I45:I54)</f>
        <v>720</v>
      </c>
      <c r="J55" s="2"/>
      <c r="K55" s="2"/>
    </row>
    <row r="56" spans="1:15" x14ac:dyDescent="0.3">
      <c r="J56" s="2"/>
      <c r="K56" s="2"/>
    </row>
    <row r="57" spans="1:15" x14ac:dyDescent="0.3">
      <c r="A57" t="s">
        <v>17</v>
      </c>
      <c r="B57" t="s">
        <v>29</v>
      </c>
      <c r="C57" t="s">
        <v>43</v>
      </c>
      <c r="D57" t="s">
        <v>93</v>
      </c>
      <c r="E57" t="s">
        <v>172</v>
      </c>
      <c r="F57" t="s">
        <v>267</v>
      </c>
      <c r="G57" t="s">
        <v>383</v>
      </c>
      <c r="H57">
        <v>26</v>
      </c>
      <c r="I57">
        <v>6</v>
      </c>
      <c r="J57" s="2">
        <v>17952</v>
      </c>
      <c r="K57" s="2">
        <v>17950</v>
      </c>
      <c r="L57">
        <v>13.5</v>
      </c>
      <c r="M57" s="3">
        <f t="shared" ref="M57:M63" si="12">L57*K57*0.052</f>
        <v>12600.9</v>
      </c>
      <c r="N57" s="3">
        <f t="shared" ref="N57:N63" si="13">M57-0.32*(K57-C57)</f>
        <v>8732.0999999999985</v>
      </c>
      <c r="O57" s="3">
        <f t="shared" ref="O57:O63" si="14">M57-0.32*(K57-0.32*(C57+75))</f>
        <v>7464.6439999999993</v>
      </c>
    </row>
    <row r="58" spans="1:15" x14ac:dyDescent="0.3">
      <c r="A58" t="s">
        <v>17</v>
      </c>
      <c r="B58" t="s">
        <v>29</v>
      </c>
      <c r="C58" t="s">
        <v>43</v>
      </c>
      <c r="D58" t="s">
        <v>94</v>
      </c>
      <c r="E58" t="s">
        <v>172</v>
      </c>
      <c r="F58" t="s">
        <v>268</v>
      </c>
      <c r="G58" t="s">
        <v>384</v>
      </c>
      <c r="H58">
        <v>39</v>
      </c>
      <c r="I58">
        <v>12</v>
      </c>
      <c r="J58" s="2">
        <v>30450</v>
      </c>
      <c r="K58" s="2">
        <v>30444</v>
      </c>
      <c r="L58">
        <v>15.1</v>
      </c>
      <c r="M58" s="3">
        <f t="shared" si="12"/>
        <v>23904.628799999999</v>
      </c>
      <c r="N58" s="3">
        <f t="shared" si="13"/>
        <v>16037.748799999998</v>
      </c>
      <c r="O58" s="3">
        <f t="shared" si="14"/>
        <v>14770.292799999999</v>
      </c>
    </row>
    <row r="59" spans="1:15" x14ac:dyDescent="0.3">
      <c r="A59" t="s">
        <v>17</v>
      </c>
      <c r="B59" t="s">
        <v>29</v>
      </c>
      <c r="C59" t="s">
        <v>43</v>
      </c>
      <c r="D59" t="s">
        <v>95</v>
      </c>
      <c r="E59" t="s">
        <v>172</v>
      </c>
      <c r="F59" t="s">
        <v>269</v>
      </c>
      <c r="G59" t="s">
        <v>385</v>
      </c>
      <c r="H59">
        <v>42</v>
      </c>
      <c r="I59">
        <v>33</v>
      </c>
      <c r="J59" s="2">
        <v>32499</v>
      </c>
      <c r="K59" s="2">
        <v>32475</v>
      </c>
      <c r="L59">
        <v>15.1</v>
      </c>
      <c r="M59" s="3">
        <f t="shared" si="12"/>
        <v>25499.37</v>
      </c>
      <c r="N59" s="3">
        <f t="shared" si="13"/>
        <v>16982.57</v>
      </c>
      <c r="O59" s="3">
        <f t="shared" si="14"/>
        <v>15715.114</v>
      </c>
    </row>
    <row r="60" spans="1:15" x14ac:dyDescent="0.3">
      <c r="A60" t="s">
        <v>17</v>
      </c>
      <c r="B60" t="s">
        <v>29</v>
      </c>
      <c r="C60" t="s">
        <v>43</v>
      </c>
      <c r="D60" t="s">
        <v>96</v>
      </c>
      <c r="E60" t="s">
        <v>172</v>
      </c>
      <c r="F60" t="s">
        <v>270</v>
      </c>
      <c r="G60" t="s">
        <v>386</v>
      </c>
      <c r="H60">
        <v>13</v>
      </c>
      <c r="I60">
        <v>42</v>
      </c>
      <c r="J60" s="2">
        <v>29866</v>
      </c>
      <c r="K60" s="2">
        <v>29771</v>
      </c>
      <c r="L60">
        <v>15.4</v>
      </c>
      <c r="M60" s="3">
        <f t="shared" si="12"/>
        <v>23840.6168</v>
      </c>
      <c r="N60" s="3">
        <f t="shared" si="13"/>
        <v>16189.096799999999</v>
      </c>
      <c r="O60" s="3">
        <f t="shared" si="14"/>
        <v>14921.640799999999</v>
      </c>
    </row>
    <row r="61" spans="1:15" x14ac:dyDescent="0.3">
      <c r="A61" t="s">
        <v>17</v>
      </c>
      <c r="B61" t="s">
        <v>29</v>
      </c>
      <c r="C61" t="s">
        <v>43</v>
      </c>
      <c r="D61" t="s">
        <v>97</v>
      </c>
      <c r="E61" t="s">
        <v>172</v>
      </c>
      <c r="F61" t="s">
        <v>271</v>
      </c>
      <c r="G61" t="s">
        <v>285</v>
      </c>
      <c r="H61">
        <v>49</v>
      </c>
      <c r="I61">
        <v>17</v>
      </c>
      <c r="J61" s="2">
        <v>32455</v>
      </c>
      <c r="K61" s="2">
        <v>32432</v>
      </c>
      <c r="L61">
        <v>15.1</v>
      </c>
      <c r="M61" s="3">
        <f t="shared" si="12"/>
        <v>25465.606400000001</v>
      </c>
      <c r="N61" s="3">
        <f t="shared" si="13"/>
        <v>16962.5664</v>
      </c>
      <c r="O61" s="3">
        <f t="shared" si="14"/>
        <v>15695.110400000001</v>
      </c>
    </row>
    <row r="62" spans="1:15" x14ac:dyDescent="0.3">
      <c r="A62" t="s">
        <v>17</v>
      </c>
      <c r="B62" t="s">
        <v>29</v>
      </c>
      <c r="C62" t="s">
        <v>43</v>
      </c>
      <c r="D62" t="s">
        <v>98</v>
      </c>
      <c r="E62" t="s">
        <v>173</v>
      </c>
      <c r="F62" t="s">
        <v>272</v>
      </c>
      <c r="G62" t="s">
        <v>387</v>
      </c>
      <c r="H62">
        <v>432</v>
      </c>
      <c r="I62">
        <v>42</v>
      </c>
      <c r="J62" s="2">
        <v>32970</v>
      </c>
      <c r="K62" s="2">
        <v>31375</v>
      </c>
      <c r="L62">
        <v>15.2</v>
      </c>
      <c r="M62" s="3">
        <f t="shared" si="12"/>
        <v>24798.799999999999</v>
      </c>
      <c r="N62" s="3">
        <f t="shared" si="13"/>
        <v>16634</v>
      </c>
      <c r="O62" s="3">
        <f t="shared" si="14"/>
        <v>15366.544</v>
      </c>
    </row>
    <row r="63" spans="1:15" x14ac:dyDescent="0.3">
      <c r="A63" t="s">
        <v>17</v>
      </c>
      <c r="B63" t="s">
        <v>29</v>
      </c>
      <c r="C63" t="s">
        <v>43</v>
      </c>
      <c r="D63" t="s">
        <v>99</v>
      </c>
      <c r="E63" t="s">
        <v>173</v>
      </c>
      <c r="F63" t="s">
        <v>273</v>
      </c>
      <c r="G63" t="s">
        <v>388</v>
      </c>
      <c r="H63">
        <v>34</v>
      </c>
      <c r="I63">
        <v>72</v>
      </c>
      <c r="J63" s="2">
        <v>34381</v>
      </c>
      <c r="K63" s="2">
        <v>32629</v>
      </c>
      <c r="L63">
        <v>15</v>
      </c>
      <c r="M63" s="3">
        <f t="shared" si="12"/>
        <v>25450.62</v>
      </c>
      <c r="N63" s="3">
        <f t="shared" si="13"/>
        <v>16884.54</v>
      </c>
      <c r="O63" s="3">
        <f t="shared" si="14"/>
        <v>15617.083999999999</v>
      </c>
    </row>
    <row r="64" spans="1:15" x14ac:dyDescent="0.3">
      <c r="J64" s="2"/>
      <c r="K64" s="2"/>
    </row>
    <row r="65" spans="1:15" x14ac:dyDescent="0.3">
      <c r="H65">
        <f>SUM(H57:H64)</f>
        <v>635</v>
      </c>
      <c r="I65">
        <f>SUM(I57:I64)</f>
        <v>224</v>
      </c>
      <c r="J65" s="2"/>
      <c r="K65" s="2"/>
    </row>
    <row r="66" spans="1:15" x14ac:dyDescent="0.3">
      <c r="J66" s="2"/>
      <c r="K66" s="2"/>
    </row>
    <row r="67" spans="1:15" x14ac:dyDescent="0.3">
      <c r="A67" t="s">
        <v>18</v>
      </c>
      <c r="B67" t="s">
        <v>30</v>
      </c>
      <c r="C67" t="s">
        <v>44</v>
      </c>
      <c r="D67" t="s">
        <v>100</v>
      </c>
      <c r="E67" t="s">
        <v>172</v>
      </c>
      <c r="F67" t="s">
        <v>274</v>
      </c>
      <c r="G67" t="s">
        <v>389</v>
      </c>
      <c r="H67">
        <v>52</v>
      </c>
      <c r="I67">
        <v>30</v>
      </c>
      <c r="J67" s="2">
        <v>23320</v>
      </c>
      <c r="K67" s="2">
        <v>23320</v>
      </c>
      <c r="L67">
        <v>15.3</v>
      </c>
      <c r="M67" s="3">
        <f t="shared" ref="M67:M78" si="15">L67*K67*0.052</f>
        <v>18553.392</v>
      </c>
      <c r="N67" s="3">
        <f t="shared" ref="N67:N78" si="16">M67-0.32*(K67-C67)</f>
        <v>12959.791999999999</v>
      </c>
      <c r="O67" s="3">
        <f t="shared" ref="O67:O78" si="17">M67-0.32*(K67-0.32*(C67+75))</f>
        <v>11696.687999999998</v>
      </c>
    </row>
    <row r="68" spans="1:15" x14ac:dyDescent="0.3">
      <c r="A68" t="s">
        <v>18</v>
      </c>
      <c r="B68" t="s">
        <v>30</v>
      </c>
      <c r="C68" t="s">
        <v>44</v>
      </c>
      <c r="D68" t="s">
        <v>101</v>
      </c>
      <c r="E68" t="s">
        <v>172</v>
      </c>
      <c r="F68" t="s">
        <v>275</v>
      </c>
      <c r="G68" t="s">
        <v>390</v>
      </c>
      <c r="H68">
        <v>70</v>
      </c>
      <c r="I68">
        <v>18</v>
      </c>
      <c r="J68" s="2">
        <v>34500</v>
      </c>
      <c r="K68" s="2">
        <v>34499</v>
      </c>
      <c r="L68">
        <v>15.9</v>
      </c>
      <c r="M68" s="3">
        <f t="shared" si="15"/>
        <v>28523.773199999996</v>
      </c>
      <c r="N68" s="3">
        <f t="shared" si="16"/>
        <v>19352.893199999995</v>
      </c>
      <c r="O68" s="3">
        <f t="shared" si="17"/>
        <v>18089.789199999996</v>
      </c>
    </row>
    <row r="69" spans="1:15" x14ac:dyDescent="0.3">
      <c r="A69" t="s">
        <v>18</v>
      </c>
      <c r="B69" t="s">
        <v>30</v>
      </c>
      <c r="C69" t="s">
        <v>44</v>
      </c>
      <c r="D69" t="s">
        <v>102</v>
      </c>
      <c r="E69" t="s">
        <v>172</v>
      </c>
      <c r="F69" t="s">
        <v>243</v>
      </c>
      <c r="G69" t="s">
        <v>391</v>
      </c>
      <c r="H69">
        <v>27</v>
      </c>
      <c r="I69">
        <v>12</v>
      </c>
      <c r="J69" s="2">
        <v>33500</v>
      </c>
      <c r="K69" s="2">
        <v>33498</v>
      </c>
      <c r="L69">
        <v>15.7</v>
      </c>
      <c r="M69" s="3">
        <f t="shared" si="15"/>
        <v>27347.767199999998</v>
      </c>
      <c r="N69" s="3">
        <f t="shared" si="16"/>
        <v>18497.207199999997</v>
      </c>
      <c r="O69" s="3">
        <f t="shared" si="17"/>
        <v>17234.103199999998</v>
      </c>
    </row>
    <row r="70" spans="1:15" x14ac:dyDescent="0.3">
      <c r="A70" t="s">
        <v>18</v>
      </c>
      <c r="B70" t="s">
        <v>31</v>
      </c>
      <c r="C70" t="s">
        <v>45</v>
      </c>
      <c r="D70" t="s">
        <v>103</v>
      </c>
      <c r="E70" t="s">
        <v>173</v>
      </c>
      <c r="F70" t="s">
        <v>276</v>
      </c>
      <c r="G70" t="s">
        <v>392</v>
      </c>
      <c r="H70">
        <v>49</v>
      </c>
      <c r="I70">
        <v>12</v>
      </c>
      <c r="J70" s="2">
        <v>20701</v>
      </c>
      <c r="K70" s="2">
        <v>20701</v>
      </c>
      <c r="L70">
        <v>15.3</v>
      </c>
      <c r="M70" s="3">
        <f t="shared" si="15"/>
        <v>16469.7156</v>
      </c>
      <c r="N70" s="3">
        <f t="shared" si="16"/>
        <v>11198.995599999998</v>
      </c>
      <c r="O70" s="3">
        <f t="shared" si="17"/>
        <v>10286.227599999998</v>
      </c>
    </row>
    <row r="71" spans="1:15" x14ac:dyDescent="0.3">
      <c r="A71" t="s">
        <v>18</v>
      </c>
      <c r="B71" t="s">
        <v>31</v>
      </c>
      <c r="C71" t="s">
        <v>45</v>
      </c>
      <c r="D71" t="s">
        <v>104</v>
      </c>
      <c r="E71" t="s">
        <v>174</v>
      </c>
      <c r="F71" t="s">
        <v>277</v>
      </c>
      <c r="G71" t="s">
        <v>393</v>
      </c>
      <c r="H71">
        <v>181</v>
      </c>
      <c r="I71">
        <v>18</v>
      </c>
      <c r="J71" s="2">
        <v>34433</v>
      </c>
      <c r="K71" s="2">
        <v>33913</v>
      </c>
      <c r="L71">
        <v>17.5</v>
      </c>
      <c r="M71" s="3">
        <f t="shared" si="15"/>
        <v>30860.829999999998</v>
      </c>
      <c r="N71" s="3">
        <f t="shared" si="16"/>
        <v>21362.269999999997</v>
      </c>
      <c r="O71" s="3">
        <f t="shared" si="17"/>
        <v>20449.501999999997</v>
      </c>
    </row>
    <row r="72" spans="1:15" x14ac:dyDescent="0.3">
      <c r="A72" t="s">
        <v>18</v>
      </c>
      <c r="B72" t="s">
        <v>31</v>
      </c>
      <c r="C72" t="s">
        <v>45</v>
      </c>
      <c r="D72" t="s">
        <v>105</v>
      </c>
      <c r="E72" t="s">
        <v>174</v>
      </c>
      <c r="F72" t="s">
        <v>278</v>
      </c>
      <c r="G72" t="s">
        <v>394</v>
      </c>
      <c r="H72">
        <v>31</v>
      </c>
      <c r="I72">
        <v>12</v>
      </c>
      <c r="J72" s="2">
        <v>33939</v>
      </c>
      <c r="K72" s="2">
        <v>33464</v>
      </c>
      <c r="L72">
        <v>15.9</v>
      </c>
      <c r="M72" s="3">
        <f t="shared" si="15"/>
        <v>27668.035199999998</v>
      </c>
      <c r="N72" s="3">
        <f t="shared" si="16"/>
        <v>18313.155199999997</v>
      </c>
      <c r="O72" s="3">
        <f t="shared" si="17"/>
        <v>17400.387199999997</v>
      </c>
    </row>
    <row r="73" spans="1:15" x14ac:dyDescent="0.3">
      <c r="A73" t="s">
        <v>18</v>
      </c>
      <c r="B73" t="s">
        <v>31</v>
      </c>
      <c r="C73" t="s">
        <v>45</v>
      </c>
      <c r="D73" t="s">
        <v>106</v>
      </c>
      <c r="E73" t="s">
        <v>174</v>
      </c>
      <c r="F73" t="s">
        <v>279</v>
      </c>
      <c r="G73" t="s">
        <v>395</v>
      </c>
      <c r="H73">
        <v>50</v>
      </c>
      <c r="I73">
        <v>22</v>
      </c>
      <c r="J73" s="2">
        <v>33192</v>
      </c>
      <c r="K73" s="2">
        <v>31960</v>
      </c>
      <c r="L73">
        <v>16.100000000000001</v>
      </c>
      <c r="M73" s="3">
        <f t="shared" si="15"/>
        <v>26756.912</v>
      </c>
      <c r="N73" s="3">
        <f t="shared" si="16"/>
        <v>17883.311999999998</v>
      </c>
      <c r="O73" s="3">
        <f t="shared" si="17"/>
        <v>16970.544000000002</v>
      </c>
    </row>
    <row r="74" spans="1:15" x14ac:dyDescent="0.3">
      <c r="A74" t="s">
        <v>18</v>
      </c>
      <c r="B74" t="s">
        <v>30</v>
      </c>
      <c r="C74" t="s">
        <v>44</v>
      </c>
      <c r="D74" t="s">
        <v>107</v>
      </c>
      <c r="E74" t="s">
        <v>179</v>
      </c>
      <c r="F74" t="s">
        <v>280</v>
      </c>
      <c r="G74" t="s">
        <v>396</v>
      </c>
      <c r="H74">
        <v>114</v>
      </c>
      <c r="I74">
        <v>24</v>
      </c>
      <c r="J74" s="2">
        <v>34775</v>
      </c>
      <c r="K74" s="2">
        <v>34193</v>
      </c>
      <c r="L74">
        <v>16</v>
      </c>
      <c r="M74" s="3">
        <f t="shared" si="15"/>
        <v>28448.575999999997</v>
      </c>
      <c r="N74" s="3">
        <f t="shared" si="16"/>
        <v>19375.615999999995</v>
      </c>
      <c r="O74" s="3">
        <f t="shared" si="17"/>
        <v>18112.511999999995</v>
      </c>
    </row>
    <row r="75" spans="1:15" x14ac:dyDescent="0.3">
      <c r="A75" t="s">
        <v>18</v>
      </c>
      <c r="B75" t="s">
        <v>30</v>
      </c>
      <c r="C75" t="s">
        <v>44</v>
      </c>
      <c r="D75" t="s">
        <v>108</v>
      </c>
      <c r="E75" t="s">
        <v>179</v>
      </c>
      <c r="F75" t="s">
        <v>281</v>
      </c>
      <c r="G75" t="s">
        <v>295</v>
      </c>
      <c r="H75">
        <v>55</v>
      </c>
      <c r="I75">
        <v>24</v>
      </c>
      <c r="J75" s="2">
        <v>37743</v>
      </c>
      <c r="K75" s="2">
        <v>35115</v>
      </c>
      <c r="L75">
        <v>16.2</v>
      </c>
      <c r="M75" s="3">
        <f t="shared" si="15"/>
        <v>29580.876</v>
      </c>
      <c r="N75" s="3">
        <f t="shared" si="16"/>
        <v>20212.876</v>
      </c>
      <c r="O75" s="3">
        <f t="shared" si="17"/>
        <v>18949.772000000001</v>
      </c>
    </row>
    <row r="76" spans="1:15" x14ac:dyDescent="0.3">
      <c r="A76" t="s">
        <v>18</v>
      </c>
      <c r="B76" t="s">
        <v>30</v>
      </c>
      <c r="C76" t="s">
        <v>44</v>
      </c>
      <c r="D76" t="s">
        <v>109</v>
      </c>
      <c r="E76" t="s">
        <v>179</v>
      </c>
      <c r="F76" t="s">
        <v>282</v>
      </c>
      <c r="G76" t="s">
        <v>397</v>
      </c>
      <c r="H76">
        <v>19</v>
      </c>
      <c r="I76">
        <v>18</v>
      </c>
      <c r="J76" s="2">
        <v>34464</v>
      </c>
      <c r="K76" s="2">
        <v>32145</v>
      </c>
      <c r="L76">
        <v>16.2</v>
      </c>
      <c r="M76" s="3">
        <f t="shared" si="15"/>
        <v>27078.948</v>
      </c>
      <c r="N76" s="3">
        <f t="shared" si="16"/>
        <v>18661.347999999998</v>
      </c>
      <c r="O76" s="3">
        <f t="shared" si="17"/>
        <v>17398.243999999999</v>
      </c>
    </row>
    <row r="77" spans="1:15" x14ac:dyDescent="0.3">
      <c r="A77" t="s">
        <v>18</v>
      </c>
      <c r="B77" t="s">
        <v>30</v>
      </c>
      <c r="C77" t="s">
        <v>44</v>
      </c>
      <c r="D77" t="s">
        <v>110</v>
      </c>
      <c r="E77" t="s">
        <v>179</v>
      </c>
      <c r="F77" t="s">
        <v>283</v>
      </c>
      <c r="G77" t="s">
        <v>398</v>
      </c>
      <c r="H77">
        <v>32</v>
      </c>
      <c r="I77">
        <v>12</v>
      </c>
      <c r="J77" s="2">
        <v>34210</v>
      </c>
      <c r="K77" s="2">
        <v>32041</v>
      </c>
      <c r="L77">
        <v>16.100000000000001</v>
      </c>
      <c r="M77" s="3">
        <f t="shared" si="15"/>
        <v>26824.725200000001</v>
      </c>
      <c r="N77" s="3">
        <f t="shared" si="16"/>
        <v>18440.405200000001</v>
      </c>
      <c r="O77" s="3">
        <f t="shared" si="17"/>
        <v>17177.301200000002</v>
      </c>
    </row>
    <row r="78" spans="1:15" x14ac:dyDescent="0.3">
      <c r="A78" t="s">
        <v>18</v>
      </c>
      <c r="B78" t="s">
        <v>30</v>
      </c>
      <c r="C78" t="s">
        <v>44</v>
      </c>
      <c r="D78" t="s">
        <v>111</v>
      </c>
      <c r="E78" t="s">
        <v>181</v>
      </c>
      <c r="F78" t="s">
        <v>284</v>
      </c>
      <c r="G78" t="s">
        <v>399</v>
      </c>
      <c r="H78">
        <v>58</v>
      </c>
      <c r="I78">
        <v>24</v>
      </c>
      <c r="J78" s="2">
        <v>34995</v>
      </c>
      <c r="K78" s="2">
        <v>33456</v>
      </c>
      <c r="L78">
        <v>16.3</v>
      </c>
      <c r="M78" s="3">
        <f t="shared" si="15"/>
        <v>28357.3056</v>
      </c>
      <c r="N78" s="3">
        <f t="shared" si="16"/>
        <v>19520.185599999997</v>
      </c>
      <c r="O78" s="3">
        <f t="shared" si="17"/>
        <v>18257.081599999998</v>
      </c>
    </row>
    <row r="79" spans="1:15" x14ac:dyDescent="0.3">
      <c r="J79" s="2"/>
      <c r="K79" s="2"/>
    </row>
    <row r="80" spans="1:15" x14ac:dyDescent="0.3">
      <c r="H80">
        <f>SUM(H67:H79)</f>
        <v>738</v>
      </c>
      <c r="I80">
        <f>SUM(I67:I79)</f>
        <v>226</v>
      </c>
      <c r="J80" s="2"/>
      <c r="K80" s="2"/>
    </row>
    <row r="81" spans="1:15" x14ac:dyDescent="0.3">
      <c r="J81" s="2"/>
      <c r="K81" s="2"/>
    </row>
    <row r="82" spans="1:15" x14ac:dyDescent="0.3">
      <c r="A82" t="s">
        <v>19</v>
      </c>
      <c r="B82" t="s">
        <v>32</v>
      </c>
      <c r="C82" t="s">
        <v>44</v>
      </c>
      <c r="D82" t="s">
        <v>112</v>
      </c>
      <c r="E82" t="s">
        <v>172</v>
      </c>
      <c r="F82" t="s">
        <v>285</v>
      </c>
      <c r="G82" t="s">
        <v>400</v>
      </c>
      <c r="H82">
        <v>21</v>
      </c>
      <c r="I82">
        <v>6</v>
      </c>
      <c r="J82" s="2">
        <v>16685</v>
      </c>
      <c r="K82" s="2">
        <v>16684</v>
      </c>
      <c r="L82">
        <v>13.3</v>
      </c>
      <c r="M82" s="3">
        <f t="shared" ref="M82:M98" si="18">L82*K82*0.052</f>
        <v>11538.654399999999</v>
      </c>
      <c r="N82" s="3">
        <f t="shared" ref="N82:N98" si="19">M82-0.32*(K82-C82)</f>
        <v>8068.5743999999995</v>
      </c>
      <c r="O82" s="3">
        <f t="shared" ref="O82:O98" si="20">M82-0.32*(K82-0.32*(C82+75))</f>
        <v>6805.4703999999992</v>
      </c>
    </row>
    <row r="83" spans="1:15" x14ac:dyDescent="0.3">
      <c r="A83" t="s">
        <v>19</v>
      </c>
      <c r="B83" t="s">
        <v>32</v>
      </c>
      <c r="C83" t="s">
        <v>44</v>
      </c>
      <c r="D83" t="s">
        <v>113</v>
      </c>
      <c r="E83" t="s">
        <v>172</v>
      </c>
      <c r="F83" t="s">
        <v>286</v>
      </c>
      <c r="G83" t="s">
        <v>401</v>
      </c>
      <c r="H83">
        <v>112</v>
      </c>
      <c r="I83">
        <v>18</v>
      </c>
      <c r="J83" s="2">
        <v>25413</v>
      </c>
      <c r="K83" s="2">
        <v>25367</v>
      </c>
      <c r="L83">
        <v>15.1</v>
      </c>
      <c r="M83" s="3">
        <f t="shared" si="18"/>
        <v>19918.168399999999</v>
      </c>
      <c r="N83" s="3">
        <f t="shared" si="19"/>
        <v>13669.528399999999</v>
      </c>
      <c r="O83" s="3">
        <f t="shared" si="20"/>
        <v>12406.424399999998</v>
      </c>
    </row>
    <row r="84" spans="1:15" x14ac:dyDescent="0.3">
      <c r="A84" t="s">
        <v>19</v>
      </c>
      <c r="B84" t="s">
        <v>32</v>
      </c>
      <c r="C84" t="s">
        <v>44</v>
      </c>
      <c r="D84" t="s">
        <v>114</v>
      </c>
      <c r="E84" t="s">
        <v>172</v>
      </c>
      <c r="F84" t="s">
        <v>287</v>
      </c>
      <c r="G84" t="s">
        <v>402</v>
      </c>
      <c r="H84">
        <v>73</v>
      </c>
      <c r="I84">
        <v>59</v>
      </c>
      <c r="J84" s="2">
        <v>30039</v>
      </c>
      <c r="K84" s="2">
        <v>29948</v>
      </c>
      <c r="L84">
        <v>15.5</v>
      </c>
      <c r="M84" s="3">
        <f t="shared" si="18"/>
        <v>24138.088</v>
      </c>
      <c r="N84" s="3">
        <f t="shared" si="19"/>
        <v>16423.527999999998</v>
      </c>
      <c r="O84" s="3">
        <f t="shared" si="20"/>
        <v>15160.423999999999</v>
      </c>
    </row>
    <row r="85" spans="1:15" x14ac:dyDescent="0.3">
      <c r="A85" t="s">
        <v>19</v>
      </c>
      <c r="B85" t="s">
        <v>33</v>
      </c>
      <c r="C85" t="s">
        <v>46</v>
      </c>
      <c r="D85" t="s">
        <v>115</v>
      </c>
      <c r="E85" t="s">
        <v>172</v>
      </c>
      <c r="F85" t="s">
        <v>288</v>
      </c>
      <c r="G85" t="s">
        <v>403</v>
      </c>
      <c r="H85">
        <v>69</v>
      </c>
      <c r="I85">
        <v>4</v>
      </c>
      <c r="J85" s="2">
        <v>13075</v>
      </c>
      <c r="K85" s="2">
        <v>13075</v>
      </c>
      <c r="L85">
        <v>14.3</v>
      </c>
      <c r="M85" s="3">
        <f t="shared" si="18"/>
        <v>9722.57</v>
      </c>
      <c r="N85" s="3">
        <f t="shared" si="19"/>
        <v>7394.57</v>
      </c>
      <c r="O85" s="3">
        <f t="shared" si="20"/>
        <v>6140.17</v>
      </c>
    </row>
    <row r="86" spans="1:15" x14ac:dyDescent="0.3">
      <c r="A86" t="s">
        <v>19</v>
      </c>
      <c r="B86" t="s">
        <v>33</v>
      </c>
      <c r="C86" t="s">
        <v>46</v>
      </c>
      <c r="D86" t="s">
        <v>116</v>
      </c>
      <c r="E86" t="s">
        <v>173</v>
      </c>
      <c r="F86" t="s">
        <v>275</v>
      </c>
      <c r="G86" t="s">
        <v>404</v>
      </c>
      <c r="H86">
        <v>135</v>
      </c>
      <c r="I86">
        <v>35</v>
      </c>
      <c r="J86" s="2">
        <v>31405</v>
      </c>
      <c r="K86" s="2">
        <v>31405</v>
      </c>
      <c r="L86">
        <v>15.5</v>
      </c>
      <c r="M86" s="3">
        <f t="shared" si="18"/>
        <v>25312.43</v>
      </c>
      <c r="N86" s="3">
        <f t="shared" si="19"/>
        <v>17118.830000000002</v>
      </c>
      <c r="O86" s="3">
        <f t="shared" si="20"/>
        <v>15864.43</v>
      </c>
    </row>
    <row r="87" spans="1:15" x14ac:dyDescent="0.3">
      <c r="A87" t="s">
        <v>19</v>
      </c>
      <c r="B87" t="s">
        <v>32</v>
      </c>
      <c r="C87" t="s">
        <v>44</v>
      </c>
      <c r="D87" t="s">
        <v>117</v>
      </c>
      <c r="E87" t="s">
        <v>173</v>
      </c>
      <c r="F87" t="s">
        <v>225</v>
      </c>
      <c r="G87" t="s">
        <v>405</v>
      </c>
      <c r="H87">
        <v>167</v>
      </c>
      <c r="I87">
        <v>30</v>
      </c>
      <c r="J87" s="2">
        <v>33225</v>
      </c>
      <c r="K87" s="2">
        <v>32807</v>
      </c>
      <c r="L87">
        <v>15</v>
      </c>
      <c r="M87" s="3">
        <f t="shared" si="18"/>
        <v>25589.46</v>
      </c>
      <c r="N87" s="3">
        <f t="shared" si="19"/>
        <v>16960.019999999997</v>
      </c>
      <c r="O87" s="3">
        <f t="shared" si="20"/>
        <v>15696.915999999999</v>
      </c>
    </row>
    <row r="88" spans="1:15" x14ac:dyDescent="0.3">
      <c r="A88" t="s">
        <v>19</v>
      </c>
      <c r="B88" t="s">
        <v>32</v>
      </c>
      <c r="C88" t="s">
        <v>44</v>
      </c>
      <c r="D88" t="s">
        <v>118</v>
      </c>
      <c r="E88" t="s">
        <v>173</v>
      </c>
      <c r="F88" t="s">
        <v>249</v>
      </c>
      <c r="G88" t="s">
        <v>406</v>
      </c>
      <c r="H88">
        <v>12</v>
      </c>
      <c r="I88">
        <v>10</v>
      </c>
      <c r="J88" s="2">
        <v>31726</v>
      </c>
      <c r="K88" s="2">
        <v>31373</v>
      </c>
      <c r="L88">
        <v>14.5</v>
      </c>
      <c r="M88" s="3">
        <f t="shared" si="18"/>
        <v>23655.241999999998</v>
      </c>
      <c r="N88" s="3">
        <f t="shared" si="19"/>
        <v>15484.681999999997</v>
      </c>
      <c r="O88" s="3">
        <f t="shared" si="20"/>
        <v>14221.577999999998</v>
      </c>
    </row>
    <row r="89" spans="1:15" x14ac:dyDescent="0.3">
      <c r="A89" t="s">
        <v>19</v>
      </c>
      <c r="B89" t="s">
        <v>33</v>
      </c>
      <c r="C89" t="s">
        <v>46</v>
      </c>
      <c r="D89" t="s">
        <v>119</v>
      </c>
      <c r="E89" t="s">
        <v>174</v>
      </c>
      <c r="F89" t="s">
        <v>289</v>
      </c>
      <c r="G89" t="s">
        <v>407</v>
      </c>
      <c r="H89">
        <v>95</v>
      </c>
      <c r="I89">
        <v>12</v>
      </c>
      <c r="J89" s="2">
        <v>31296</v>
      </c>
      <c r="K89" s="2">
        <v>31025</v>
      </c>
      <c r="L89">
        <v>15.1</v>
      </c>
      <c r="M89" s="3">
        <f t="shared" si="18"/>
        <v>24360.829999999998</v>
      </c>
      <c r="N89" s="3">
        <f t="shared" si="19"/>
        <v>16288.829999999998</v>
      </c>
      <c r="O89" s="3">
        <f t="shared" si="20"/>
        <v>15034.429999999998</v>
      </c>
    </row>
    <row r="90" spans="1:15" x14ac:dyDescent="0.3">
      <c r="A90" t="s">
        <v>19</v>
      </c>
      <c r="B90" t="s">
        <v>33</v>
      </c>
      <c r="C90" t="s">
        <v>46</v>
      </c>
      <c r="D90" t="s">
        <v>120</v>
      </c>
      <c r="E90" t="s">
        <v>174</v>
      </c>
      <c r="F90" t="s">
        <v>290</v>
      </c>
      <c r="G90" t="s">
        <v>408</v>
      </c>
      <c r="H90">
        <v>39</v>
      </c>
      <c r="I90">
        <v>12</v>
      </c>
      <c r="J90" s="2">
        <v>32105</v>
      </c>
      <c r="K90" s="2">
        <v>31803</v>
      </c>
      <c r="L90">
        <v>15.1</v>
      </c>
      <c r="M90" s="3">
        <f t="shared" si="18"/>
        <v>24971.7156</v>
      </c>
      <c r="N90" s="3">
        <f t="shared" si="19"/>
        <v>16650.755599999997</v>
      </c>
      <c r="O90" s="3">
        <f t="shared" si="20"/>
        <v>15396.355599999999</v>
      </c>
    </row>
    <row r="91" spans="1:15" x14ac:dyDescent="0.3">
      <c r="A91" t="s">
        <v>19</v>
      </c>
      <c r="B91" t="s">
        <v>33</v>
      </c>
      <c r="C91" t="s">
        <v>46</v>
      </c>
      <c r="D91" t="s">
        <v>121</v>
      </c>
      <c r="E91" t="s">
        <v>174</v>
      </c>
      <c r="F91" t="s">
        <v>291</v>
      </c>
      <c r="G91" t="s">
        <v>409</v>
      </c>
      <c r="H91">
        <v>50</v>
      </c>
      <c r="I91">
        <v>6</v>
      </c>
      <c r="J91" s="2">
        <v>31765</v>
      </c>
      <c r="K91" s="2">
        <v>31591</v>
      </c>
      <c r="L91">
        <v>14.8</v>
      </c>
      <c r="M91" s="3">
        <f t="shared" si="18"/>
        <v>24312.4336</v>
      </c>
      <c r="N91" s="3">
        <f t="shared" si="19"/>
        <v>16059.313599999999</v>
      </c>
      <c r="O91" s="3">
        <f t="shared" si="20"/>
        <v>14804.9136</v>
      </c>
    </row>
    <row r="92" spans="1:15" x14ac:dyDescent="0.3">
      <c r="A92" t="s">
        <v>19</v>
      </c>
      <c r="B92" t="s">
        <v>33</v>
      </c>
      <c r="C92" t="s">
        <v>46</v>
      </c>
      <c r="D92" t="s">
        <v>122</v>
      </c>
      <c r="E92" t="s">
        <v>174</v>
      </c>
      <c r="F92" t="s">
        <v>279</v>
      </c>
      <c r="G92" t="s">
        <v>410</v>
      </c>
      <c r="H92">
        <v>12</v>
      </c>
      <c r="I92">
        <v>12</v>
      </c>
      <c r="J92" s="2">
        <v>29651</v>
      </c>
      <c r="K92" s="2">
        <v>29189</v>
      </c>
      <c r="L92">
        <v>15</v>
      </c>
      <c r="M92" s="3">
        <f t="shared" si="18"/>
        <v>22767.42</v>
      </c>
      <c r="N92" s="3">
        <f t="shared" si="19"/>
        <v>15282.939999999999</v>
      </c>
      <c r="O92" s="3">
        <f t="shared" si="20"/>
        <v>14028.539999999997</v>
      </c>
    </row>
    <row r="93" spans="1:15" x14ac:dyDescent="0.3">
      <c r="A93" t="s">
        <v>19</v>
      </c>
      <c r="B93" t="s">
        <v>33</v>
      </c>
      <c r="C93" t="s">
        <v>46</v>
      </c>
      <c r="D93" t="s">
        <v>123</v>
      </c>
      <c r="E93" t="s">
        <v>193</v>
      </c>
      <c r="F93" t="s">
        <v>292</v>
      </c>
      <c r="G93" t="s">
        <v>411</v>
      </c>
      <c r="H93">
        <v>118</v>
      </c>
      <c r="I93">
        <v>33</v>
      </c>
      <c r="J93" s="2">
        <v>31100</v>
      </c>
      <c r="K93" s="2">
        <v>31100</v>
      </c>
      <c r="L93">
        <v>15.3</v>
      </c>
      <c r="M93" s="3">
        <f t="shared" si="18"/>
        <v>24743.16</v>
      </c>
      <c r="N93" s="3">
        <f t="shared" si="19"/>
        <v>16647.16</v>
      </c>
      <c r="O93" s="3">
        <f t="shared" si="20"/>
        <v>15392.76</v>
      </c>
    </row>
    <row r="94" spans="1:15" x14ac:dyDescent="0.3">
      <c r="A94" t="s">
        <v>19</v>
      </c>
      <c r="B94" t="s">
        <v>32</v>
      </c>
      <c r="C94" t="s">
        <v>44</v>
      </c>
      <c r="D94" t="s">
        <v>124</v>
      </c>
      <c r="E94" t="s">
        <v>174</v>
      </c>
      <c r="F94" t="s">
        <v>293</v>
      </c>
      <c r="G94" t="s">
        <v>412</v>
      </c>
      <c r="H94">
        <v>55</v>
      </c>
      <c r="I94">
        <v>12</v>
      </c>
      <c r="J94" s="2">
        <v>32047</v>
      </c>
      <c r="K94" s="2">
        <v>31768</v>
      </c>
      <c r="L94">
        <v>15.6</v>
      </c>
      <c r="M94" s="3">
        <f t="shared" si="18"/>
        <v>25770.201599999997</v>
      </c>
      <c r="N94" s="3">
        <f t="shared" si="19"/>
        <v>17473.241599999994</v>
      </c>
      <c r="O94" s="3">
        <f t="shared" si="20"/>
        <v>16210.137599999996</v>
      </c>
    </row>
    <row r="95" spans="1:15" x14ac:dyDescent="0.3">
      <c r="A95" t="s">
        <v>19</v>
      </c>
      <c r="B95" t="s">
        <v>32</v>
      </c>
      <c r="C95" t="s">
        <v>44</v>
      </c>
      <c r="D95" t="s">
        <v>125</v>
      </c>
      <c r="E95" t="s">
        <v>174</v>
      </c>
      <c r="F95" t="s">
        <v>294</v>
      </c>
      <c r="G95" t="s">
        <v>413</v>
      </c>
      <c r="H95">
        <v>7</v>
      </c>
      <c r="I95">
        <v>6</v>
      </c>
      <c r="J95" s="2">
        <v>30671</v>
      </c>
      <c r="K95" s="2">
        <v>29933</v>
      </c>
      <c r="L95">
        <v>15.1</v>
      </c>
      <c r="M95" s="3">
        <f t="shared" si="18"/>
        <v>23503.391599999999</v>
      </c>
      <c r="N95" s="3">
        <f t="shared" si="19"/>
        <v>15793.631599999999</v>
      </c>
      <c r="O95" s="3">
        <f t="shared" si="20"/>
        <v>14530.527599999999</v>
      </c>
    </row>
    <row r="96" spans="1:15" x14ac:dyDescent="0.3">
      <c r="A96" t="s">
        <v>19</v>
      </c>
      <c r="B96" t="s">
        <v>32</v>
      </c>
      <c r="C96" t="s">
        <v>44</v>
      </c>
      <c r="D96" t="s">
        <v>126</v>
      </c>
      <c r="E96" t="s">
        <v>194</v>
      </c>
      <c r="F96" t="s">
        <v>295</v>
      </c>
      <c r="G96" t="s">
        <v>414</v>
      </c>
      <c r="H96">
        <v>15</v>
      </c>
      <c r="I96">
        <v>20</v>
      </c>
      <c r="J96" s="2">
        <v>30891</v>
      </c>
      <c r="K96" s="2">
        <v>30141</v>
      </c>
      <c r="L96">
        <v>15.9</v>
      </c>
      <c r="M96" s="3">
        <f t="shared" si="18"/>
        <v>24920.578799999999</v>
      </c>
      <c r="N96" s="3">
        <f t="shared" si="19"/>
        <v>17144.2588</v>
      </c>
      <c r="O96" s="3">
        <f t="shared" si="20"/>
        <v>15881.154799999998</v>
      </c>
    </row>
    <row r="97" spans="1:15" x14ac:dyDescent="0.3">
      <c r="A97" t="s">
        <v>19</v>
      </c>
      <c r="B97" t="s">
        <v>33</v>
      </c>
      <c r="C97" t="s">
        <v>46</v>
      </c>
      <c r="D97" t="s">
        <v>127</v>
      </c>
      <c r="E97" t="s">
        <v>195</v>
      </c>
      <c r="F97" t="s">
        <v>296</v>
      </c>
      <c r="G97" t="s">
        <v>415</v>
      </c>
      <c r="H97">
        <v>120</v>
      </c>
      <c r="I97">
        <v>148</v>
      </c>
      <c r="J97" s="2">
        <v>30965</v>
      </c>
      <c r="K97" s="2">
        <v>30780</v>
      </c>
      <c r="L97">
        <v>15.4</v>
      </c>
      <c r="M97" s="3">
        <f t="shared" si="18"/>
        <v>24648.624</v>
      </c>
      <c r="N97" s="3">
        <f t="shared" si="19"/>
        <v>16655.023999999998</v>
      </c>
      <c r="O97" s="3">
        <f t="shared" si="20"/>
        <v>15400.624</v>
      </c>
    </row>
    <row r="98" spans="1:15" x14ac:dyDescent="0.3">
      <c r="A98" t="s">
        <v>19</v>
      </c>
      <c r="B98" t="s">
        <v>33</v>
      </c>
      <c r="C98" t="s">
        <v>46</v>
      </c>
      <c r="D98" t="s">
        <v>128</v>
      </c>
      <c r="E98" t="s">
        <v>196</v>
      </c>
      <c r="F98" t="s">
        <v>297</v>
      </c>
      <c r="G98" t="s">
        <v>416</v>
      </c>
      <c r="H98">
        <v>167</v>
      </c>
      <c r="I98">
        <v>155</v>
      </c>
      <c r="J98" s="2">
        <v>31870</v>
      </c>
      <c r="K98" s="2">
        <v>31085</v>
      </c>
      <c r="L98">
        <v>15.4</v>
      </c>
      <c r="M98" s="3">
        <f t="shared" si="18"/>
        <v>24892.867999999999</v>
      </c>
      <c r="N98" s="3">
        <f t="shared" si="19"/>
        <v>16801.667999999998</v>
      </c>
      <c r="O98" s="3">
        <f t="shared" si="20"/>
        <v>15547.267999999998</v>
      </c>
    </row>
    <row r="99" spans="1:15" x14ac:dyDescent="0.3">
      <c r="J99" s="2"/>
      <c r="K99" s="2"/>
    </row>
    <row r="100" spans="1:15" x14ac:dyDescent="0.3">
      <c r="H100">
        <f>SUM(H82:H99)</f>
        <v>1267</v>
      </c>
      <c r="I100">
        <f>SUM(I82:I99)</f>
        <v>578</v>
      </c>
      <c r="J100" s="2"/>
      <c r="K100" s="2"/>
    </row>
    <row r="101" spans="1:15" x14ac:dyDescent="0.3">
      <c r="J101" s="2"/>
      <c r="K101" s="2"/>
    </row>
    <row r="102" spans="1:15" x14ac:dyDescent="0.3">
      <c r="A102" t="s">
        <v>20</v>
      </c>
      <c r="B102" t="s">
        <v>34</v>
      </c>
      <c r="C102" t="s">
        <v>47</v>
      </c>
      <c r="D102" t="s">
        <v>129</v>
      </c>
      <c r="E102" t="s">
        <v>172</v>
      </c>
      <c r="F102" t="s">
        <v>298</v>
      </c>
      <c r="G102" t="s">
        <v>417</v>
      </c>
      <c r="H102">
        <v>174</v>
      </c>
      <c r="I102">
        <v>16</v>
      </c>
      <c r="J102" s="2">
        <v>28459</v>
      </c>
      <c r="K102" s="2">
        <v>28458</v>
      </c>
      <c r="L102">
        <v>14.2</v>
      </c>
      <c r="M102" s="3">
        <f t="shared" ref="M102:M120" si="21">L102*K102*0.052</f>
        <v>21013.387199999997</v>
      </c>
      <c r="N102" s="3">
        <f t="shared" ref="N102:N120" si="22">M102-0.32*(K102-C102)</f>
        <v>14089.227199999998</v>
      </c>
      <c r="O102" s="3">
        <f t="shared" ref="O102:O120" si="23">M102-0.32*(K102-0.32*(C102+75))</f>
        <v>12612.875199999999</v>
      </c>
    </row>
    <row r="103" spans="1:15" x14ac:dyDescent="0.3">
      <c r="A103" t="s">
        <v>20</v>
      </c>
      <c r="B103" t="s">
        <v>35</v>
      </c>
      <c r="C103" t="s">
        <v>47</v>
      </c>
      <c r="D103" t="s">
        <v>130</v>
      </c>
      <c r="E103" t="s">
        <v>172</v>
      </c>
      <c r="F103" t="s">
        <v>299</v>
      </c>
      <c r="G103" t="s">
        <v>418</v>
      </c>
      <c r="H103">
        <v>2</v>
      </c>
      <c r="I103">
        <v>0</v>
      </c>
      <c r="J103" s="2">
        <v>9652</v>
      </c>
      <c r="K103" s="2">
        <v>9652</v>
      </c>
      <c r="L103">
        <v>10.3</v>
      </c>
      <c r="M103" s="3">
        <f t="shared" si="21"/>
        <v>5169.6112000000003</v>
      </c>
      <c r="N103" s="3">
        <f t="shared" si="22"/>
        <v>4263.3712000000005</v>
      </c>
      <c r="O103" s="3">
        <f t="shared" si="23"/>
        <v>2787.0192000000002</v>
      </c>
    </row>
    <row r="104" spans="1:15" x14ac:dyDescent="0.3">
      <c r="A104" t="s">
        <v>20</v>
      </c>
      <c r="B104" t="s">
        <v>35</v>
      </c>
      <c r="C104" t="s">
        <v>47</v>
      </c>
      <c r="D104" t="s">
        <v>131</v>
      </c>
      <c r="E104" t="s">
        <v>197</v>
      </c>
      <c r="F104" t="s">
        <v>300</v>
      </c>
      <c r="G104" t="s">
        <v>419</v>
      </c>
      <c r="H104">
        <v>331</v>
      </c>
      <c r="I104">
        <v>94</v>
      </c>
      <c r="J104" s="2">
        <v>29009</v>
      </c>
      <c r="K104" s="2">
        <v>28093</v>
      </c>
      <c r="L104">
        <v>14.1</v>
      </c>
      <c r="M104" s="3">
        <f t="shared" si="21"/>
        <v>20597.7876</v>
      </c>
      <c r="N104" s="3">
        <f t="shared" si="22"/>
        <v>13790.427599999999</v>
      </c>
      <c r="O104" s="3">
        <f t="shared" si="23"/>
        <v>12314.0756</v>
      </c>
    </row>
    <row r="105" spans="1:15" x14ac:dyDescent="0.3">
      <c r="A105" t="s">
        <v>20</v>
      </c>
      <c r="B105" t="s">
        <v>34</v>
      </c>
      <c r="C105" t="s">
        <v>47</v>
      </c>
      <c r="D105" t="s">
        <v>132</v>
      </c>
      <c r="E105" t="s">
        <v>198</v>
      </c>
      <c r="F105" t="s">
        <v>301</v>
      </c>
      <c r="G105" t="s">
        <v>420</v>
      </c>
      <c r="H105">
        <v>113</v>
      </c>
      <c r="I105">
        <v>209</v>
      </c>
      <c r="J105" s="2">
        <v>28276</v>
      </c>
      <c r="K105" s="2">
        <v>28049</v>
      </c>
      <c r="L105">
        <v>14.6</v>
      </c>
      <c r="M105" s="3">
        <f t="shared" si="21"/>
        <v>21294.800799999997</v>
      </c>
      <c r="N105" s="3">
        <f t="shared" si="22"/>
        <v>14501.520799999998</v>
      </c>
      <c r="O105" s="3">
        <f t="shared" si="23"/>
        <v>13025.168799999998</v>
      </c>
    </row>
    <row r="106" spans="1:15" x14ac:dyDescent="0.3">
      <c r="A106" t="s">
        <v>20</v>
      </c>
      <c r="B106" t="s">
        <v>34</v>
      </c>
      <c r="C106" t="s">
        <v>47</v>
      </c>
      <c r="D106" t="s">
        <v>133</v>
      </c>
      <c r="E106" t="s">
        <v>199</v>
      </c>
      <c r="F106" t="s">
        <v>302</v>
      </c>
      <c r="G106" t="s">
        <v>421</v>
      </c>
      <c r="H106">
        <v>83</v>
      </c>
      <c r="I106">
        <v>102</v>
      </c>
      <c r="J106" s="2">
        <v>29325</v>
      </c>
      <c r="K106" s="2">
        <v>28367</v>
      </c>
      <c r="L106">
        <v>14.2</v>
      </c>
      <c r="M106" s="3">
        <f t="shared" si="21"/>
        <v>20946.192799999997</v>
      </c>
      <c r="N106" s="3">
        <f t="shared" si="22"/>
        <v>14051.152799999996</v>
      </c>
      <c r="O106" s="3">
        <f t="shared" si="23"/>
        <v>12574.800799999997</v>
      </c>
    </row>
    <row r="107" spans="1:15" x14ac:dyDescent="0.3">
      <c r="A107" t="s">
        <v>20</v>
      </c>
      <c r="B107" t="s">
        <v>35</v>
      </c>
      <c r="C107" t="s">
        <v>47</v>
      </c>
      <c r="D107" t="s">
        <v>134</v>
      </c>
      <c r="E107" t="s">
        <v>200</v>
      </c>
      <c r="F107" t="s">
        <v>303</v>
      </c>
      <c r="G107" t="s">
        <v>422</v>
      </c>
      <c r="H107">
        <v>67</v>
      </c>
      <c r="I107">
        <v>16</v>
      </c>
      <c r="J107" s="2">
        <v>29255</v>
      </c>
      <c r="K107" s="2">
        <v>28304</v>
      </c>
      <c r="L107">
        <v>14.1</v>
      </c>
      <c r="M107" s="3">
        <f t="shared" si="21"/>
        <v>20752.492799999996</v>
      </c>
      <c r="N107" s="3">
        <f t="shared" si="22"/>
        <v>13877.612799999995</v>
      </c>
      <c r="O107" s="3">
        <f t="shared" si="23"/>
        <v>12401.260799999996</v>
      </c>
    </row>
    <row r="108" spans="1:15" x14ac:dyDescent="0.3">
      <c r="A108" t="s">
        <v>20</v>
      </c>
      <c r="B108" t="s">
        <v>35</v>
      </c>
      <c r="C108" t="s">
        <v>47</v>
      </c>
      <c r="D108" t="s">
        <v>135</v>
      </c>
      <c r="E108" t="s">
        <v>201</v>
      </c>
      <c r="F108" t="s">
        <v>304</v>
      </c>
      <c r="G108" t="s">
        <v>423</v>
      </c>
      <c r="H108">
        <v>58</v>
      </c>
      <c r="I108">
        <v>63</v>
      </c>
      <c r="J108" s="2">
        <v>28721</v>
      </c>
      <c r="K108" s="2">
        <v>28076</v>
      </c>
      <c r="L108">
        <v>14.2</v>
      </c>
      <c r="M108" s="3">
        <f t="shared" si="21"/>
        <v>20731.318399999996</v>
      </c>
      <c r="N108" s="3">
        <f t="shared" si="22"/>
        <v>13929.398399999996</v>
      </c>
      <c r="O108" s="3">
        <f t="shared" si="23"/>
        <v>12453.046399999997</v>
      </c>
    </row>
    <row r="109" spans="1:15" x14ac:dyDescent="0.3">
      <c r="A109" t="s">
        <v>20</v>
      </c>
      <c r="B109" t="s">
        <v>34</v>
      </c>
      <c r="C109" t="s">
        <v>47</v>
      </c>
      <c r="D109" t="s">
        <v>136</v>
      </c>
      <c r="E109" t="s">
        <v>202</v>
      </c>
      <c r="F109" t="s">
        <v>228</v>
      </c>
      <c r="G109" t="s">
        <v>424</v>
      </c>
      <c r="H109">
        <v>35</v>
      </c>
      <c r="I109">
        <v>83</v>
      </c>
      <c r="J109" s="2">
        <v>28692</v>
      </c>
      <c r="K109" s="2">
        <v>28195</v>
      </c>
      <c r="L109">
        <v>14</v>
      </c>
      <c r="M109" s="3">
        <f t="shared" si="21"/>
        <v>20525.96</v>
      </c>
      <c r="N109" s="3">
        <f t="shared" si="22"/>
        <v>13685.96</v>
      </c>
      <c r="O109" s="3">
        <f t="shared" si="23"/>
        <v>12209.608</v>
      </c>
    </row>
    <row r="110" spans="1:15" x14ac:dyDescent="0.3">
      <c r="A110" t="s">
        <v>20</v>
      </c>
      <c r="B110" t="s">
        <v>35</v>
      </c>
      <c r="C110" t="s">
        <v>47</v>
      </c>
      <c r="D110" t="s">
        <v>137</v>
      </c>
      <c r="E110" t="s">
        <v>203</v>
      </c>
      <c r="F110" t="s">
        <v>305</v>
      </c>
      <c r="G110" t="s">
        <v>306</v>
      </c>
      <c r="H110">
        <v>27</v>
      </c>
      <c r="I110">
        <v>6</v>
      </c>
      <c r="J110" s="2">
        <v>20452</v>
      </c>
      <c r="K110" s="2">
        <v>20194</v>
      </c>
      <c r="L110">
        <v>12.5</v>
      </c>
      <c r="M110" s="3">
        <f t="shared" si="21"/>
        <v>13126.099999999999</v>
      </c>
      <c r="N110" s="3">
        <f t="shared" si="22"/>
        <v>8846.4199999999983</v>
      </c>
      <c r="O110" s="3">
        <f t="shared" si="23"/>
        <v>7370.0679999999993</v>
      </c>
    </row>
    <row r="111" spans="1:15" x14ac:dyDescent="0.3">
      <c r="A111" t="s">
        <v>20</v>
      </c>
      <c r="B111" t="s">
        <v>35</v>
      </c>
      <c r="C111" t="s">
        <v>47</v>
      </c>
      <c r="D111" t="s">
        <v>138</v>
      </c>
      <c r="E111" t="s">
        <v>203</v>
      </c>
      <c r="F111" t="s">
        <v>306</v>
      </c>
      <c r="G111" t="s">
        <v>425</v>
      </c>
      <c r="H111">
        <v>33</v>
      </c>
      <c r="I111">
        <v>78</v>
      </c>
      <c r="J111" s="2">
        <v>28883</v>
      </c>
      <c r="K111" s="2">
        <v>28318</v>
      </c>
      <c r="L111">
        <v>14</v>
      </c>
      <c r="M111" s="3">
        <f t="shared" si="21"/>
        <v>20615.504000000001</v>
      </c>
      <c r="N111" s="3">
        <f t="shared" si="22"/>
        <v>13736.144</v>
      </c>
      <c r="O111" s="3">
        <f t="shared" si="23"/>
        <v>12259.792000000001</v>
      </c>
    </row>
    <row r="112" spans="1:15" x14ac:dyDescent="0.3">
      <c r="A112" t="s">
        <v>20</v>
      </c>
      <c r="B112" t="s">
        <v>34</v>
      </c>
      <c r="C112" t="s">
        <v>47</v>
      </c>
      <c r="D112" t="s">
        <v>139</v>
      </c>
      <c r="E112" t="s">
        <v>204</v>
      </c>
      <c r="F112" t="s">
        <v>307</v>
      </c>
      <c r="G112" t="s">
        <v>426</v>
      </c>
      <c r="H112">
        <v>58</v>
      </c>
      <c r="I112">
        <v>68</v>
      </c>
      <c r="J112" s="2">
        <v>29401</v>
      </c>
      <c r="K112" s="2">
        <v>28265</v>
      </c>
      <c r="L112">
        <v>14</v>
      </c>
      <c r="M112" s="3">
        <f t="shared" si="21"/>
        <v>20576.919999999998</v>
      </c>
      <c r="N112" s="3">
        <f t="shared" si="22"/>
        <v>13714.519999999997</v>
      </c>
      <c r="O112" s="3">
        <f t="shared" si="23"/>
        <v>12238.167999999998</v>
      </c>
    </row>
    <row r="113" spans="1:15" x14ac:dyDescent="0.3">
      <c r="A113" t="s">
        <v>20</v>
      </c>
      <c r="B113" t="s">
        <v>34</v>
      </c>
      <c r="C113" t="s">
        <v>47</v>
      </c>
      <c r="D113" t="s">
        <v>140</v>
      </c>
      <c r="E113" t="s">
        <v>205</v>
      </c>
      <c r="F113" t="s">
        <v>308</v>
      </c>
      <c r="G113" t="s">
        <v>309</v>
      </c>
      <c r="H113">
        <v>28</v>
      </c>
      <c r="I113">
        <v>6</v>
      </c>
      <c r="J113" s="2">
        <v>12847</v>
      </c>
      <c r="K113" s="2">
        <v>12846</v>
      </c>
      <c r="L113">
        <v>12.5</v>
      </c>
      <c r="M113" s="3">
        <f t="shared" si="21"/>
        <v>8349.9</v>
      </c>
      <c r="N113" s="3">
        <f t="shared" si="22"/>
        <v>6421.58</v>
      </c>
      <c r="O113" s="3">
        <f t="shared" si="23"/>
        <v>4945.2279999999992</v>
      </c>
    </row>
    <row r="114" spans="1:15" x14ac:dyDescent="0.3">
      <c r="A114" t="s">
        <v>20</v>
      </c>
      <c r="B114" t="s">
        <v>34</v>
      </c>
      <c r="C114" t="s">
        <v>47</v>
      </c>
      <c r="D114" t="s">
        <v>141</v>
      </c>
      <c r="E114" t="s">
        <v>205</v>
      </c>
      <c r="F114" t="s">
        <v>309</v>
      </c>
      <c r="G114" t="s">
        <v>427</v>
      </c>
      <c r="H114">
        <v>84</v>
      </c>
      <c r="I114">
        <v>91</v>
      </c>
      <c r="J114" s="2">
        <v>31071</v>
      </c>
      <c r="K114" s="2">
        <v>28536</v>
      </c>
      <c r="L114">
        <v>14.2</v>
      </c>
      <c r="M114" s="3">
        <f t="shared" si="21"/>
        <v>21070.982399999997</v>
      </c>
      <c r="N114" s="3">
        <f t="shared" si="22"/>
        <v>14121.862399999998</v>
      </c>
      <c r="O114" s="3">
        <f t="shared" si="23"/>
        <v>12645.510399999997</v>
      </c>
    </row>
    <row r="115" spans="1:15" x14ac:dyDescent="0.3">
      <c r="A115" t="s">
        <v>20</v>
      </c>
      <c r="B115" t="s">
        <v>34</v>
      </c>
      <c r="C115" t="s">
        <v>47</v>
      </c>
      <c r="D115" t="s">
        <v>142</v>
      </c>
      <c r="E115" t="s">
        <v>206</v>
      </c>
      <c r="F115" t="s">
        <v>310</v>
      </c>
      <c r="G115" t="s">
        <v>428</v>
      </c>
      <c r="H115">
        <v>49</v>
      </c>
      <c r="I115">
        <v>86</v>
      </c>
      <c r="J115" s="2">
        <v>30612</v>
      </c>
      <c r="K115" s="2">
        <v>28533</v>
      </c>
      <c r="L115">
        <v>14.3</v>
      </c>
      <c r="M115" s="3">
        <f t="shared" si="21"/>
        <v>21217.138800000001</v>
      </c>
      <c r="N115" s="3">
        <f t="shared" si="22"/>
        <v>14268.978800000001</v>
      </c>
      <c r="O115" s="3">
        <f t="shared" si="23"/>
        <v>12792.626800000002</v>
      </c>
    </row>
    <row r="116" spans="1:15" x14ac:dyDescent="0.3">
      <c r="A116" t="s">
        <v>20</v>
      </c>
      <c r="B116" t="s">
        <v>35</v>
      </c>
      <c r="C116" t="s">
        <v>47</v>
      </c>
      <c r="D116" t="s">
        <v>143</v>
      </c>
      <c r="E116" t="s">
        <v>207</v>
      </c>
      <c r="F116" t="s">
        <v>311</v>
      </c>
      <c r="G116" t="s">
        <v>429</v>
      </c>
      <c r="H116">
        <v>26</v>
      </c>
      <c r="I116">
        <v>6</v>
      </c>
      <c r="J116" s="2">
        <v>21490</v>
      </c>
      <c r="K116" s="2">
        <v>20171</v>
      </c>
      <c r="L116">
        <v>12.7</v>
      </c>
      <c r="M116" s="3">
        <f t="shared" si="21"/>
        <v>13320.928399999999</v>
      </c>
      <c r="N116" s="3">
        <f t="shared" si="22"/>
        <v>9048.6083999999992</v>
      </c>
      <c r="O116" s="3">
        <f t="shared" si="23"/>
        <v>7572.2563999999993</v>
      </c>
    </row>
    <row r="117" spans="1:15" x14ac:dyDescent="0.3">
      <c r="A117" t="s">
        <v>20</v>
      </c>
      <c r="B117" t="s">
        <v>35</v>
      </c>
      <c r="C117" t="s">
        <v>47</v>
      </c>
      <c r="D117" t="s">
        <v>144</v>
      </c>
      <c r="E117" t="s">
        <v>207</v>
      </c>
      <c r="F117" t="s">
        <v>312</v>
      </c>
      <c r="G117" t="s">
        <v>430</v>
      </c>
      <c r="H117">
        <v>17</v>
      </c>
      <c r="I117">
        <v>6</v>
      </c>
      <c r="J117" s="2">
        <v>21665</v>
      </c>
      <c r="K117" s="2">
        <v>20324</v>
      </c>
      <c r="L117">
        <v>12</v>
      </c>
      <c r="M117" s="3">
        <f t="shared" si="21"/>
        <v>12682.175999999999</v>
      </c>
      <c r="N117" s="3">
        <f t="shared" si="22"/>
        <v>8360.8960000000006</v>
      </c>
      <c r="O117" s="3">
        <f t="shared" si="23"/>
        <v>6884.5439999999999</v>
      </c>
    </row>
    <row r="118" spans="1:15" x14ac:dyDescent="0.3">
      <c r="A118" t="s">
        <v>20</v>
      </c>
      <c r="B118" t="s">
        <v>35</v>
      </c>
      <c r="C118" t="s">
        <v>47</v>
      </c>
      <c r="D118" t="s">
        <v>145</v>
      </c>
      <c r="E118" t="s">
        <v>207</v>
      </c>
      <c r="F118" t="s">
        <v>313</v>
      </c>
      <c r="G118" t="s">
        <v>431</v>
      </c>
      <c r="H118">
        <v>86</v>
      </c>
      <c r="I118">
        <v>103</v>
      </c>
      <c r="J118" s="2">
        <v>30846</v>
      </c>
      <c r="K118" s="2">
        <v>28656</v>
      </c>
      <c r="L118">
        <v>13.6</v>
      </c>
      <c r="M118" s="3">
        <f t="shared" si="21"/>
        <v>20265.5232</v>
      </c>
      <c r="N118" s="3">
        <f t="shared" si="22"/>
        <v>13278.003199999999</v>
      </c>
      <c r="O118" s="3">
        <f t="shared" si="23"/>
        <v>11801.6512</v>
      </c>
    </row>
    <row r="119" spans="1:15" x14ac:dyDescent="0.3">
      <c r="A119" t="s">
        <v>20</v>
      </c>
      <c r="B119" t="s">
        <v>34</v>
      </c>
      <c r="C119" t="s">
        <v>47</v>
      </c>
      <c r="D119" t="s">
        <v>146</v>
      </c>
      <c r="E119" t="s">
        <v>208</v>
      </c>
      <c r="F119" t="s">
        <v>314</v>
      </c>
      <c r="G119" t="s">
        <v>432</v>
      </c>
      <c r="H119">
        <v>52</v>
      </c>
      <c r="I119">
        <v>58</v>
      </c>
      <c r="J119" s="2">
        <v>31295</v>
      </c>
      <c r="K119" s="2">
        <v>28590</v>
      </c>
      <c r="L119">
        <v>14.1</v>
      </c>
      <c r="M119" s="3">
        <f t="shared" si="21"/>
        <v>20962.187999999998</v>
      </c>
      <c r="N119" s="3">
        <f t="shared" si="22"/>
        <v>13995.787999999997</v>
      </c>
      <c r="O119" s="3">
        <f t="shared" si="23"/>
        <v>12519.435999999998</v>
      </c>
    </row>
    <row r="120" spans="1:15" x14ac:dyDescent="0.3">
      <c r="A120" t="s">
        <v>20</v>
      </c>
      <c r="B120" t="s">
        <v>34</v>
      </c>
      <c r="C120" t="s">
        <v>47</v>
      </c>
      <c r="D120" t="s">
        <v>147</v>
      </c>
      <c r="E120" t="s">
        <v>209</v>
      </c>
      <c r="F120" t="s">
        <v>315</v>
      </c>
      <c r="G120" t="s">
        <v>433</v>
      </c>
      <c r="H120">
        <v>42</v>
      </c>
      <c r="I120">
        <v>43</v>
      </c>
      <c r="J120" s="2">
        <v>28695</v>
      </c>
      <c r="K120" s="2">
        <v>28015</v>
      </c>
      <c r="L120">
        <v>14.1</v>
      </c>
      <c r="M120" s="3">
        <f t="shared" si="21"/>
        <v>20540.597999999998</v>
      </c>
      <c r="N120" s="3">
        <f t="shared" si="22"/>
        <v>13758.197999999997</v>
      </c>
      <c r="O120" s="3">
        <f t="shared" si="23"/>
        <v>12281.845999999998</v>
      </c>
    </row>
    <row r="121" spans="1:15" x14ac:dyDescent="0.3">
      <c r="J121" s="2"/>
      <c r="K121" s="2"/>
    </row>
    <row r="122" spans="1:15" x14ac:dyDescent="0.3">
      <c r="H122">
        <f>SUM(H102:H121)</f>
        <v>1365</v>
      </c>
      <c r="I122">
        <f>SUM(I102:I121)</f>
        <v>1134</v>
      </c>
      <c r="J122" s="2"/>
      <c r="K122" s="2"/>
    </row>
    <row r="123" spans="1:15" x14ac:dyDescent="0.3">
      <c r="J123" s="2"/>
      <c r="K123" s="2"/>
    </row>
    <row r="124" spans="1:15" x14ac:dyDescent="0.3">
      <c r="A124" t="s">
        <v>21</v>
      </c>
      <c r="B124" t="s">
        <v>36</v>
      </c>
      <c r="C124" t="s">
        <v>48</v>
      </c>
      <c r="D124" t="s">
        <v>148</v>
      </c>
      <c r="E124" t="s">
        <v>172</v>
      </c>
      <c r="F124" t="s">
        <v>316</v>
      </c>
      <c r="G124" t="s">
        <v>434</v>
      </c>
      <c r="H124">
        <v>69</v>
      </c>
      <c r="J124" s="2">
        <v>28639</v>
      </c>
      <c r="K124" s="2">
        <v>28638</v>
      </c>
      <c r="L124">
        <v>16</v>
      </c>
      <c r="M124" s="3">
        <f>L124*K124*0.052</f>
        <v>23826.815999999999</v>
      </c>
      <c r="N124" s="3">
        <f>M124-0.32*(K124-C124)</f>
        <v>17710.655999999999</v>
      </c>
      <c r="O124" s="3">
        <f>M124-0.32*(K124-0.32*(C124+75))</f>
        <v>15645.696</v>
      </c>
    </row>
    <row r="125" spans="1:15" x14ac:dyDescent="0.3">
      <c r="A125" t="s">
        <v>21</v>
      </c>
      <c r="B125" t="s">
        <v>36</v>
      </c>
      <c r="C125" t="s">
        <v>48</v>
      </c>
      <c r="D125" t="s">
        <v>149</v>
      </c>
      <c r="E125" t="s">
        <v>173</v>
      </c>
      <c r="F125" t="s">
        <v>317</v>
      </c>
      <c r="G125" t="s">
        <v>435</v>
      </c>
      <c r="H125">
        <v>3</v>
      </c>
      <c r="I125">
        <v>41</v>
      </c>
      <c r="J125" s="2">
        <v>12600</v>
      </c>
      <c r="K125" s="2">
        <v>12600</v>
      </c>
      <c r="L125">
        <v>12</v>
      </c>
      <c r="M125" s="3">
        <f t="shared" ref="M125:M145" si="24">L125*K125*0.052</f>
        <v>7862.4</v>
      </c>
      <c r="N125" s="3">
        <f t="shared" ref="N125:N145" si="25">M125-0.32*(K125-C125)</f>
        <v>6878.4</v>
      </c>
      <c r="O125" s="3">
        <f t="shared" ref="O125:O145" si="26">M125-0.32*(K125-0.32*(C125+75))</f>
        <v>4813.4399999999996</v>
      </c>
    </row>
    <row r="126" spans="1:15" x14ac:dyDescent="0.3">
      <c r="A126" t="s">
        <v>21</v>
      </c>
      <c r="B126" t="s">
        <v>36</v>
      </c>
      <c r="C126" t="s">
        <v>48</v>
      </c>
      <c r="D126" t="s">
        <v>150</v>
      </c>
      <c r="E126" t="s">
        <v>172</v>
      </c>
      <c r="F126" t="s">
        <v>318</v>
      </c>
      <c r="G126" t="s">
        <v>436</v>
      </c>
      <c r="H126">
        <v>129</v>
      </c>
      <c r="I126">
        <v>6</v>
      </c>
      <c r="J126" s="2">
        <v>29571</v>
      </c>
      <c r="K126" s="2">
        <v>28076</v>
      </c>
      <c r="L126">
        <v>14.1</v>
      </c>
      <c r="M126" s="3">
        <f t="shared" si="24"/>
        <v>20585.323199999999</v>
      </c>
      <c r="N126" s="3">
        <f t="shared" si="25"/>
        <v>14649.003199999999</v>
      </c>
      <c r="O126" s="3">
        <f t="shared" si="26"/>
        <v>12584.0432</v>
      </c>
    </row>
    <row r="127" spans="1:15" x14ac:dyDescent="0.3">
      <c r="A127" t="s">
        <v>21</v>
      </c>
      <c r="B127" t="s">
        <v>36</v>
      </c>
      <c r="C127" t="s">
        <v>48</v>
      </c>
      <c r="D127" t="s">
        <v>151</v>
      </c>
      <c r="E127" t="s">
        <v>179</v>
      </c>
      <c r="F127" t="s">
        <v>319</v>
      </c>
      <c r="G127" t="s">
        <v>437</v>
      </c>
      <c r="H127">
        <v>80</v>
      </c>
      <c r="I127">
        <v>40</v>
      </c>
      <c r="J127" s="2">
        <v>17434</v>
      </c>
      <c r="K127" s="2">
        <v>16633</v>
      </c>
      <c r="L127">
        <v>13</v>
      </c>
      <c r="M127" s="3">
        <f t="shared" si="24"/>
        <v>11243.907999999999</v>
      </c>
      <c r="N127" s="3">
        <f t="shared" si="25"/>
        <v>8969.348</v>
      </c>
      <c r="O127" s="3">
        <f t="shared" si="26"/>
        <v>6904.387999999999</v>
      </c>
    </row>
    <row r="128" spans="1:15" x14ac:dyDescent="0.3">
      <c r="A128" t="s">
        <v>21</v>
      </c>
      <c r="B128" t="s">
        <v>36</v>
      </c>
      <c r="C128" t="s">
        <v>48</v>
      </c>
      <c r="D128" t="s">
        <v>152</v>
      </c>
      <c r="E128" t="s">
        <v>181</v>
      </c>
      <c r="F128" t="s">
        <v>320</v>
      </c>
      <c r="G128" t="s">
        <v>438</v>
      </c>
      <c r="H128">
        <v>41</v>
      </c>
      <c r="I128">
        <v>15</v>
      </c>
      <c r="J128" s="2">
        <v>20525</v>
      </c>
      <c r="K128" s="2">
        <v>18865</v>
      </c>
      <c r="L128">
        <v>16.2</v>
      </c>
      <c r="M128" s="3">
        <f t="shared" si="24"/>
        <v>15891.875999999998</v>
      </c>
      <c r="N128" s="3">
        <f t="shared" si="25"/>
        <v>12903.075999999997</v>
      </c>
      <c r="O128" s="3">
        <f t="shared" si="26"/>
        <v>10838.115999999998</v>
      </c>
    </row>
    <row r="129" spans="1:15" x14ac:dyDescent="0.3">
      <c r="A129" t="s">
        <v>21</v>
      </c>
      <c r="B129" t="s">
        <v>36</v>
      </c>
      <c r="C129" t="s">
        <v>48</v>
      </c>
      <c r="D129" t="s">
        <v>153</v>
      </c>
      <c r="E129" t="s">
        <v>181</v>
      </c>
      <c r="F129" t="s">
        <v>321</v>
      </c>
      <c r="G129" t="s">
        <v>439</v>
      </c>
      <c r="H129">
        <v>82</v>
      </c>
      <c r="I129">
        <v>0</v>
      </c>
      <c r="J129" s="2">
        <v>25585</v>
      </c>
      <c r="K129" s="2">
        <v>22868</v>
      </c>
      <c r="L129">
        <v>11.1</v>
      </c>
      <c r="M129" s="3">
        <f t="shared" si="24"/>
        <v>13199.409599999999</v>
      </c>
      <c r="N129" s="3">
        <f t="shared" si="25"/>
        <v>8929.6495999999988</v>
      </c>
      <c r="O129" s="3">
        <f t="shared" si="26"/>
        <v>6864.6895999999988</v>
      </c>
    </row>
    <row r="130" spans="1:15" x14ac:dyDescent="0.3">
      <c r="A130" t="s">
        <v>21</v>
      </c>
      <c r="B130" t="s">
        <v>36</v>
      </c>
      <c r="C130" t="s">
        <v>48</v>
      </c>
      <c r="D130" t="s">
        <v>154</v>
      </c>
      <c r="E130" t="s">
        <v>210</v>
      </c>
      <c r="F130" t="s">
        <v>322</v>
      </c>
      <c r="G130" t="s">
        <v>440</v>
      </c>
      <c r="H130">
        <v>156</v>
      </c>
      <c r="I130">
        <v>9</v>
      </c>
      <c r="J130" s="2">
        <v>31225</v>
      </c>
      <c r="K130" s="2">
        <v>28307</v>
      </c>
      <c r="L130">
        <v>14</v>
      </c>
      <c r="M130" s="3">
        <f t="shared" si="24"/>
        <v>20607.495999999999</v>
      </c>
      <c r="N130" s="3">
        <f t="shared" si="25"/>
        <v>14597.255999999999</v>
      </c>
      <c r="O130" s="3">
        <f t="shared" si="26"/>
        <v>12532.295999999998</v>
      </c>
    </row>
    <row r="131" spans="1:15" x14ac:dyDescent="0.3">
      <c r="A131" t="s">
        <v>21</v>
      </c>
      <c r="B131" t="s">
        <v>36</v>
      </c>
      <c r="C131" t="s">
        <v>48</v>
      </c>
      <c r="D131" t="s">
        <v>155</v>
      </c>
      <c r="E131" t="s">
        <v>211</v>
      </c>
      <c r="F131" t="s">
        <v>323</v>
      </c>
      <c r="G131" t="s">
        <v>441</v>
      </c>
      <c r="H131">
        <v>82</v>
      </c>
      <c r="I131">
        <v>128</v>
      </c>
      <c r="J131" s="2">
        <v>30853</v>
      </c>
      <c r="K131" s="2">
        <v>28333</v>
      </c>
      <c r="L131">
        <v>14.1</v>
      </c>
      <c r="M131" s="3">
        <f t="shared" si="24"/>
        <v>20773.755599999997</v>
      </c>
      <c r="N131" s="3">
        <f t="shared" si="25"/>
        <v>14755.195599999995</v>
      </c>
      <c r="O131" s="3">
        <f t="shared" si="26"/>
        <v>12690.235599999996</v>
      </c>
    </row>
    <row r="132" spans="1:15" x14ac:dyDescent="0.3">
      <c r="A132" t="s">
        <v>21</v>
      </c>
      <c r="B132" t="s">
        <v>36</v>
      </c>
      <c r="C132" t="s">
        <v>48</v>
      </c>
      <c r="D132" t="s">
        <v>156</v>
      </c>
      <c r="E132" t="s">
        <v>212</v>
      </c>
      <c r="F132" t="s">
        <v>324</v>
      </c>
      <c r="G132" t="s">
        <v>442</v>
      </c>
      <c r="H132">
        <v>6</v>
      </c>
      <c r="I132">
        <v>83</v>
      </c>
      <c r="J132" s="2">
        <v>11231</v>
      </c>
      <c r="K132" s="2">
        <v>11230</v>
      </c>
      <c r="L132">
        <v>9.5</v>
      </c>
      <c r="M132" s="3">
        <f t="shared" si="24"/>
        <v>5547.62</v>
      </c>
      <c r="N132" s="3">
        <f t="shared" si="25"/>
        <v>5002.0199999999995</v>
      </c>
      <c r="O132" s="3">
        <f t="shared" si="26"/>
        <v>2937.06</v>
      </c>
    </row>
    <row r="133" spans="1:15" x14ac:dyDescent="0.3">
      <c r="A133" t="s">
        <v>21</v>
      </c>
      <c r="B133" t="s">
        <v>36</v>
      </c>
      <c r="C133" t="s">
        <v>48</v>
      </c>
      <c r="D133" t="s">
        <v>157</v>
      </c>
      <c r="E133" t="s">
        <v>213</v>
      </c>
      <c r="F133" t="s">
        <v>325</v>
      </c>
      <c r="G133" t="s">
        <v>443</v>
      </c>
      <c r="H133">
        <v>565</v>
      </c>
      <c r="I133">
        <v>5</v>
      </c>
      <c r="J133" s="2">
        <v>27840</v>
      </c>
      <c r="K133" s="2">
        <v>27326</v>
      </c>
      <c r="L133">
        <v>14</v>
      </c>
      <c r="M133" s="3">
        <f t="shared" si="24"/>
        <v>19893.327999999998</v>
      </c>
      <c r="N133" s="3">
        <f t="shared" si="25"/>
        <v>14197.007999999998</v>
      </c>
      <c r="O133" s="3">
        <f t="shared" si="26"/>
        <v>12132.047999999999</v>
      </c>
    </row>
    <row r="134" spans="1:15" x14ac:dyDescent="0.3">
      <c r="A134" t="s">
        <v>21</v>
      </c>
      <c r="B134" t="s">
        <v>36</v>
      </c>
      <c r="C134" t="s">
        <v>48</v>
      </c>
      <c r="D134" t="s">
        <v>158</v>
      </c>
      <c r="E134" t="s">
        <v>214</v>
      </c>
      <c r="F134" t="s">
        <v>326</v>
      </c>
      <c r="G134" t="s">
        <v>444</v>
      </c>
      <c r="H134">
        <v>2</v>
      </c>
      <c r="I134">
        <v>93</v>
      </c>
      <c r="J134" s="2">
        <v>11226</v>
      </c>
      <c r="K134" s="2">
        <v>11226</v>
      </c>
      <c r="L134">
        <v>8.6</v>
      </c>
      <c r="M134" s="3">
        <f t="shared" si="24"/>
        <v>5020.2671999999993</v>
      </c>
      <c r="N134" s="3">
        <f t="shared" si="25"/>
        <v>4475.9471999999996</v>
      </c>
      <c r="O134" s="3">
        <f t="shared" si="26"/>
        <v>2410.9871999999991</v>
      </c>
    </row>
    <row r="135" spans="1:15" x14ac:dyDescent="0.3">
      <c r="A135" t="s">
        <v>21</v>
      </c>
      <c r="B135" t="s">
        <v>36</v>
      </c>
      <c r="C135" t="s">
        <v>48</v>
      </c>
      <c r="D135" t="s">
        <v>159</v>
      </c>
      <c r="E135" t="s">
        <v>215</v>
      </c>
      <c r="F135" t="s">
        <v>327</v>
      </c>
      <c r="G135" t="s">
        <v>445</v>
      </c>
      <c r="H135">
        <v>79</v>
      </c>
      <c r="I135">
        <v>9</v>
      </c>
      <c r="J135" s="2">
        <v>29050</v>
      </c>
      <c r="K135" s="2">
        <v>28126</v>
      </c>
      <c r="L135">
        <v>13.7</v>
      </c>
      <c r="M135" s="3">
        <f t="shared" si="24"/>
        <v>20036.962399999997</v>
      </c>
      <c r="N135" s="3">
        <f t="shared" si="25"/>
        <v>14084.642399999997</v>
      </c>
      <c r="O135" s="3">
        <f t="shared" si="26"/>
        <v>12019.682399999998</v>
      </c>
    </row>
    <row r="136" spans="1:15" x14ac:dyDescent="0.3">
      <c r="A136" t="s">
        <v>21</v>
      </c>
      <c r="B136" t="s">
        <v>36</v>
      </c>
      <c r="C136" t="s">
        <v>48</v>
      </c>
      <c r="D136" t="s">
        <v>160</v>
      </c>
      <c r="E136" t="s">
        <v>216</v>
      </c>
      <c r="F136" t="s">
        <v>328</v>
      </c>
      <c r="G136" t="s">
        <v>446</v>
      </c>
      <c r="H136">
        <v>24</v>
      </c>
      <c r="I136">
        <v>18</v>
      </c>
      <c r="J136" s="2">
        <v>28075</v>
      </c>
      <c r="K136" s="2">
        <v>27228</v>
      </c>
      <c r="L136">
        <v>14</v>
      </c>
      <c r="M136" s="3">
        <f t="shared" si="24"/>
        <v>19821.984</v>
      </c>
      <c r="N136" s="3">
        <f t="shared" si="25"/>
        <v>14157.024000000001</v>
      </c>
      <c r="O136" s="3">
        <f t="shared" si="26"/>
        <v>12092.064</v>
      </c>
    </row>
    <row r="137" spans="1:15" x14ac:dyDescent="0.3">
      <c r="A137" t="s">
        <v>21</v>
      </c>
      <c r="B137" t="s">
        <v>36</v>
      </c>
      <c r="C137" t="s">
        <v>48</v>
      </c>
      <c r="D137" t="s">
        <v>161</v>
      </c>
      <c r="E137" t="s">
        <v>217</v>
      </c>
      <c r="F137" t="s">
        <v>329</v>
      </c>
      <c r="G137" t="s">
        <v>447</v>
      </c>
      <c r="H137">
        <v>259</v>
      </c>
      <c r="I137">
        <v>91</v>
      </c>
      <c r="J137" s="2">
        <v>30717</v>
      </c>
      <c r="K137" s="2">
        <v>27172</v>
      </c>
      <c r="L137">
        <v>14.3</v>
      </c>
      <c r="M137" s="3">
        <f t="shared" si="24"/>
        <v>20205.099200000001</v>
      </c>
      <c r="N137" s="3">
        <f t="shared" si="25"/>
        <v>14558.0592</v>
      </c>
      <c r="O137" s="3">
        <f t="shared" si="26"/>
        <v>12493.099200000001</v>
      </c>
    </row>
    <row r="138" spans="1:15" x14ac:dyDescent="0.3">
      <c r="A138" t="s">
        <v>21</v>
      </c>
      <c r="B138" t="s">
        <v>36</v>
      </c>
      <c r="C138" t="s">
        <v>48</v>
      </c>
      <c r="D138" t="s">
        <v>162</v>
      </c>
      <c r="E138" t="s">
        <v>218</v>
      </c>
      <c r="F138" t="s">
        <v>330</v>
      </c>
      <c r="G138" t="s">
        <v>448</v>
      </c>
      <c r="H138">
        <v>62</v>
      </c>
      <c r="I138">
        <v>51</v>
      </c>
      <c r="J138" s="2">
        <v>31080</v>
      </c>
      <c r="K138" s="2">
        <v>28179</v>
      </c>
      <c r="L138">
        <v>14</v>
      </c>
      <c r="M138" s="3">
        <f t="shared" si="24"/>
        <v>20514.311999999998</v>
      </c>
      <c r="N138" s="3">
        <f t="shared" si="25"/>
        <v>14545.031999999999</v>
      </c>
      <c r="O138" s="3">
        <f t="shared" si="26"/>
        <v>12480.071999999998</v>
      </c>
    </row>
    <row r="139" spans="1:15" x14ac:dyDescent="0.3">
      <c r="A139" t="s">
        <v>21</v>
      </c>
      <c r="B139" t="s">
        <v>36</v>
      </c>
      <c r="C139" t="s">
        <v>48</v>
      </c>
      <c r="D139" t="s">
        <v>163</v>
      </c>
      <c r="E139" t="s">
        <v>219</v>
      </c>
      <c r="F139" t="s">
        <v>331</v>
      </c>
      <c r="G139" t="s">
        <v>449</v>
      </c>
      <c r="H139">
        <v>40</v>
      </c>
      <c r="I139">
        <v>33</v>
      </c>
      <c r="J139" s="2">
        <v>30131</v>
      </c>
      <c r="K139" s="2">
        <v>28272</v>
      </c>
      <c r="L139">
        <v>13.9</v>
      </c>
      <c r="M139" s="3">
        <f t="shared" si="24"/>
        <v>20435.0016</v>
      </c>
      <c r="N139" s="3">
        <f t="shared" si="25"/>
        <v>14435.961599999999</v>
      </c>
      <c r="O139" s="3">
        <f t="shared" si="26"/>
        <v>12371.0016</v>
      </c>
    </row>
    <row r="140" spans="1:15" x14ac:dyDescent="0.3">
      <c r="A140" t="s">
        <v>21</v>
      </c>
      <c r="B140" t="s">
        <v>36</v>
      </c>
      <c r="C140" t="s">
        <v>48</v>
      </c>
      <c r="D140" t="s">
        <v>164</v>
      </c>
      <c r="E140" t="s">
        <v>220</v>
      </c>
      <c r="F140" t="s">
        <v>332</v>
      </c>
      <c r="G140" t="s">
        <v>450</v>
      </c>
      <c r="H140">
        <v>188</v>
      </c>
      <c r="I140">
        <v>74</v>
      </c>
      <c r="J140" s="2">
        <v>28681</v>
      </c>
      <c r="K140" s="2">
        <v>27488</v>
      </c>
      <c r="L140">
        <v>13.9</v>
      </c>
      <c r="M140" s="3">
        <f t="shared" si="24"/>
        <v>19868.326399999998</v>
      </c>
      <c r="N140" s="3">
        <f t="shared" si="25"/>
        <v>14120.166399999998</v>
      </c>
      <c r="O140" s="3">
        <f t="shared" si="26"/>
        <v>12055.206399999999</v>
      </c>
    </row>
    <row r="141" spans="1:15" x14ac:dyDescent="0.3">
      <c r="A141" t="s">
        <v>21</v>
      </c>
      <c r="B141" t="s">
        <v>36</v>
      </c>
      <c r="C141" t="s">
        <v>48</v>
      </c>
      <c r="D141" t="s">
        <v>165</v>
      </c>
      <c r="E141" t="s">
        <v>221</v>
      </c>
      <c r="F141" t="s">
        <v>333</v>
      </c>
      <c r="G141" t="s">
        <v>451</v>
      </c>
      <c r="H141">
        <v>84</v>
      </c>
      <c r="I141">
        <v>41</v>
      </c>
      <c r="J141" s="2">
        <v>28283</v>
      </c>
      <c r="K141" s="2">
        <v>27595</v>
      </c>
      <c r="L141">
        <v>13.9</v>
      </c>
      <c r="M141" s="3">
        <f t="shared" si="24"/>
        <v>19945.665999999997</v>
      </c>
      <c r="N141" s="3">
        <f t="shared" si="25"/>
        <v>14163.265999999996</v>
      </c>
      <c r="O141" s="3">
        <f t="shared" si="26"/>
        <v>12098.305999999997</v>
      </c>
    </row>
    <row r="142" spans="1:15" x14ac:dyDescent="0.3">
      <c r="A142" t="s">
        <v>21</v>
      </c>
      <c r="B142" t="s">
        <v>36</v>
      </c>
      <c r="C142" t="s">
        <v>48</v>
      </c>
      <c r="D142" t="s">
        <v>166</v>
      </c>
      <c r="E142" t="s">
        <v>222</v>
      </c>
      <c r="F142" t="s">
        <v>334</v>
      </c>
      <c r="G142" t="s">
        <v>452</v>
      </c>
      <c r="H142">
        <v>158</v>
      </c>
      <c r="I142">
        <v>40</v>
      </c>
      <c r="J142" s="2">
        <v>29795</v>
      </c>
      <c r="K142" s="2">
        <v>26635</v>
      </c>
      <c r="L142">
        <v>14.2</v>
      </c>
      <c r="M142" s="3">
        <f t="shared" si="24"/>
        <v>19667.284</v>
      </c>
      <c r="N142" s="3">
        <f t="shared" si="25"/>
        <v>14192.083999999999</v>
      </c>
      <c r="O142" s="3">
        <f t="shared" si="26"/>
        <v>12127.124</v>
      </c>
    </row>
    <row r="143" spans="1:15" x14ac:dyDescent="0.3">
      <c r="A143" t="s">
        <v>21</v>
      </c>
      <c r="B143" t="s">
        <v>36</v>
      </c>
      <c r="C143" t="s">
        <v>48</v>
      </c>
      <c r="D143" t="s">
        <v>167</v>
      </c>
      <c r="E143" t="s">
        <v>222</v>
      </c>
      <c r="F143" t="s">
        <v>335</v>
      </c>
      <c r="G143" t="s">
        <v>453</v>
      </c>
      <c r="H143">
        <v>8</v>
      </c>
      <c r="I143">
        <v>12</v>
      </c>
      <c r="J143" s="2">
        <v>29878</v>
      </c>
      <c r="K143" s="2">
        <v>27023</v>
      </c>
      <c r="L143">
        <v>14.2</v>
      </c>
      <c r="M143" s="3">
        <f t="shared" si="24"/>
        <v>19953.783199999998</v>
      </c>
      <c r="N143" s="3">
        <f t="shared" si="25"/>
        <v>14354.423199999997</v>
      </c>
      <c r="O143" s="3">
        <f t="shared" si="26"/>
        <v>12289.463199999998</v>
      </c>
    </row>
    <row r="144" spans="1:15" x14ac:dyDescent="0.3">
      <c r="A144" t="s">
        <v>21</v>
      </c>
      <c r="B144" t="s">
        <v>36</v>
      </c>
      <c r="C144" t="s">
        <v>48</v>
      </c>
      <c r="D144" t="s">
        <v>168</v>
      </c>
      <c r="E144" t="s">
        <v>223</v>
      </c>
      <c r="F144" t="s">
        <v>336</v>
      </c>
      <c r="G144" t="s">
        <v>454</v>
      </c>
      <c r="H144">
        <v>53</v>
      </c>
      <c r="I144">
        <v>62</v>
      </c>
      <c r="J144" s="2">
        <v>28917</v>
      </c>
      <c r="K144" s="2">
        <v>27933</v>
      </c>
      <c r="L144">
        <v>13.7</v>
      </c>
      <c r="M144" s="3">
        <f t="shared" si="24"/>
        <v>19899.4692</v>
      </c>
      <c r="N144" s="3">
        <f t="shared" si="25"/>
        <v>14008.909199999998</v>
      </c>
      <c r="O144" s="3">
        <f t="shared" si="26"/>
        <v>11943.949199999999</v>
      </c>
    </row>
    <row r="145" spans="1:15" x14ac:dyDescent="0.3">
      <c r="A145" t="s">
        <v>21</v>
      </c>
      <c r="B145" t="s">
        <v>36</v>
      </c>
      <c r="C145" t="s">
        <v>48</v>
      </c>
      <c r="D145" t="s">
        <v>169</v>
      </c>
      <c r="E145" t="s">
        <v>223</v>
      </c>
      <c r="F145" t="s">
        <v>337</v>
      </c>
      <c r="G145" t="s">
        <v>455</v>
      </c>
      <c r="H145">
        <v>3</v>
      </c>
      <c r="I145">
        <v>12</v>
      </c>
      <c r="J145" s="2">
        <v>28630</v>
      </c>
      <c r="K145" s="2">
        <v>27522</v>
      </c>
      <c r="L145">
        <v>13.9</v>
      </c>
      <c r="M145" s="3">
        <f t="shared" si="24"/>
        <v>19892.901599999997</v>
      </c>
      <c r="N145" s="3">
        <f t="shared" si="25"/>
        <v>14133.861599999997</v>
      </c>
      <c r="O145" s="3">
        <f t="shared" si="26"/>
        <v>12068.901599999997</v>
      </c>
    </row>
    <row r="146" spans="1:15" x14ac:dyDescent="0.3">
      <c r="J146" s="2"/>
      <c r="K146" s="2"/>
    </row>
    <row r="147" spans="1:15" x14ac:dyDescent="0.3">
      <c r="H147">
        <f>SUM(H124:H146)</f>
        <v>2173</v>
      </c>
      <c r="I147">
        <f>SUM(I125:I146)</f>
        <v>863</v>
      </c>
      <c r="J147" s="2"/>
      <c r="K147" s="2"/>
    </row>
    <row r="148" spans="1:15" x14ac:dyDescent="0.3">
      <c r="J148" s="2"/>
      <c r="K148" s="2"/>
    </row>
    <row r="149" spans="1:15" x14ac:dyDescent="0.3">
      <c r="A149" t="s">
        <v>22</v>
      </c>
      <c r="B149" t="s">
        <v>37</v>
      </c>
      <c r="C149" t="s">
        <v>49</v>
      </c>
      <c r="D149" t="s">
        <v>170</v>
      </c>
      <c r="E149" t="s">
        <v>172</v>
      </c>
      <c r="F149" t="s">
        <v>338</v>
      </c>
      <c r="G149" t="s">
        <v>456</v>
      </c>
      <c r="H149">
        <v>157</v>
      </c>
      <c r="I149">
        <v>40</v>
      </c>
      <c r="J149" s="2">
        <v>35055</v>
      </c>
      <c r="K149" s="2">
        <v>35051</v>
      </c>
      <c r="L149">
        <v>16.100000000000001</v>
      </c>
      <c r="M149" s="3">
        <f t="shared" ref="M149:M150" si="27">L149*K149*0.052</f>
        <v>29344.697200000002</v>
      </c>
      <c r="N149" s="3">
        <f t="shared" ref="N149:N150" si="28">M149-0.32*(K149-C149)</f>
        <v>19449.977200000001</v>
      </c>
      <c r="O149" s="3">
        <f t="shared" ref="O149:O150" si="29">M149-0.32*(K149-0.32*(C149+75))</f>
        <v>18558.9692</v>
      </c>
    </row>
    <row r="150" spans="1:15" x14ac:dyDescent="0.3">
      <c r="A150" t="s">
        <v>22</v>
      </c>
      <c r="B150" t="s">
        <v>37</v>
      </c>
      <c r="C150" t="s">
        <v>49</v>
      </c>
      <c r="D150" t="s">
        <v>171</v>
      </c>
      <c r="E150" t="s">
        <v>173</v>
      </c>
      <c r="F150" t="s">
        <v>339</v>
      </c>
      <c r="G150" t="s">
        <v>457</v>
      </c>
      <c r="H150">
        <v>61</v>
      </c>
      <c r="I150">
        <v>10</v>
      </c>
      <c r="J150" s="2">
        <v>31360</v>
      </c>
      <c r="K150" s="2">
        <v>30836</v>
      </c>
      <c r="L150">
        <v>15.2</v>
      </c>
      <c r="M150" s="3">
        <f t="shared" si="27"/>
        <v>24372.774399999995</v>
      </c>
      <c r="N150" s="3">
        <f t="shared" si="28"/>
        <v>15826.854399999995</v>
      </c>
      <c r="O150" s="3">
        <f t="shared" si="29"/>
        <v>14935.846399999995</v>
      </c>
    </row>
    <row r="151" spans="1:15" x14ac:dyDescent="0.3">
      <c r="I15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Shilling</cp:lastModifiedBy>
  <dcterms:created xsi:type="dcterms:W3CDTF">2025-07-30T02:10:23Z</dcterms:created>
  <dcterms:modified xsi:type="dcterms:W3CDTF">2025-07-30T02:41:17Z</dcterms:modified>
</cp:coreProperties>
</file>